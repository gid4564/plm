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  <sheet name="Calls per Process" sheetId="2" state="visible" r:id="rId2"/>
    <sheet name="Calls per Proces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Consolas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6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8" customWidth="1" min="3" max="3"/>
    <col width="64" customWidth="1" min="4" max="4"/>
    <col width="46" customWidth="1" min="5" max="5"/>
    <col width="30" customWidth="1" min="6" max="6"/>
    <col width="30" customWidth="1" min="7" max="7"/>
  </cols>
  <sheetData>
    <row r="1">
      <c r="A1" s="1" t="inlineStr">
        <is>
          <t>Onshape API endpoints called by PLM</t>
        </is>
      </c>
    </row>
    <row r="2">
      <c r="A2" s="2" t="inlineStr">
        <is>
          <t>Every outbound Onshape REST call the application makes, taken from src/lib/onshape/live-client.ts. Refs are used on the other sheets.</t>
        </is>
      </c>
    </row>
    <row r="4" ht="30" customHeight="1">
      <c r="A4" s="3" t="inlineStr">
        <is>
          <t>Ref</t>
        </is>
      </c>
      <c r="B4" s="3" t="inlineStr">
        <is>
          <t>Client method</t>
        </is>
      </c>
      <c r="C4" s="3" t="inlineStr">
        <is>
          <t>HTTP</t>
        </is>
      </c>
      <c r="D4" s="3" t="inlineStr">
        <is>
          <t>Endpoint</t>
        </is>
      </c>
      <c r="E4" s="3" t="inlineStr">
        <is>
          <t>What it is for</t>
        </is>
      </c>
      <c r="F4" s="3" t="inlineStr">
        <is>
          <t>Caching</t>
        </is>
      </c>
      <c r="G4" s="3" t="inlineStr">
        <is>
          <t>Env override</t>
        </is>
      </c>
    </row>
    <row r="5">
      <c r="A5" s="4" t="inlineStr">
        <is>
          <t>A1</t>
        </is>
      </c>
      <c r="B5" s="5" t="inlineStr">
        <is>
          <t>getAuthenticatedUser</t>
        </is>
      </c>
      <c r="C5" s="4" t="inlineStr">
        <is>
          <t>GET</t>
        </is>
      </c>
      <c r="D5" s="6" t="inlineStr">
        <is>
          <t>/users/sessioninfo</t>
        </is>
      </c>
      <c r="E5" s="5" t="inlineStr">
        <is>
          <t>Identify the signed-in Onshape user; also supplies the enterprise vanity domain used to build links back into Onshape.</t>
        </is>
      </c>
      <c r="F5" s="5" t="inlineStr">
        <is>
          <t>None</t>
        </is>
      </c>
      <c r="G5" s="5" t="inlineStr">
        <is>
          <t>—</t>
        </is>
      </c>
    </row>
    <row r="6">
      <c r="A6" s="4" t="inlineStr">
        <is>
          <t>A2</t>
        </is>
      </c>
      <c r="B6" s="5" t="inlineStr">
        <is>
          <t>listPropertyDefinitions</t>
        </is>
      </c>
      <c r="C6" s="4" t="inlineStr">
        <is>
          <t>GET</t>
        </is>
      </c>
      <c r="D6" s="6" t="inlineStr">
        <is>
          <t>/metadataschema?ownerId={companyId}&amp;ownerType=1&amp;active=true</t>
        </is>
      </c>
      <c r="E6" s="5" t="inlineStr">
        <is>
          <t>Enumerate the enterprise's custom property definitions, so PLM attributes can be mapped to real Onshape property ids.</t>
        </is>
      </c>
      <c r="F6" s="5" t="inlineStr">
        <is>
          <t>5 min, in-process</t>
        </is>
      </c>
      <c r="G6" s="5" t="inlineStr">
        <is>
          <t>ONSHAPE_METADATA_SCHEMA_PATH</t>
        </is>
      </c>
    </row>
    <row r="7">
      <c r="A7" s="4" t="inlineStr">
        <is>
          <t>A3</t>
        </is>
      </c>
      <c r="B7" s="5" t="inlineStr">
        <is>
          <t>getElementInfo</t>
        </is>
      </c>
      <c r="C7" s="4" t="inlineStr">
        <is>
          <t>GET</t>
        </is>
      </c>
      <c r="D7" s="6" t="inlineStr">
        <is>
          <t>/documents/d/{did}/{w|v}/{wvid}/elements?elementId={eid}</t>
        </is>
      </c>
      <c r="E7" s="5" t="inlineStr">
        <is>
          <t>Tab name and element type. Guards against treating a Part Studio, assembly or drawing as the wrong kind of thing.</t>
        </is>
      </c>
      <c r="F7" s="5" t="inlineStr">
        <is>
          <t>5 min, in-process</t>
        </is>
      </c>
      <c r="G7" s="5" t="inlineStr">
        <is>
          <t>—</t>
        </is>
      </c>
    </row>
    <row r="8">
      <c r="A8" s="4" t="inlineStr">
        <is>
          <t>A4</t>
        </is>
      </c>
      <c r="B8" s="5" t="inlineStr">
        <is>
          <t>getDocumentInfo</t>
        </is>
      </c>
      <c r="C8" s="4" t="inlineStr">
        <is>
          <t>GET</t>
        </is>
      </c>
      <c r="D8" s="6" t="inlineStr">
        <is>
          <t>/documents/{did}</t>
        </is>
      </c>
      <c r="E8" s="5" t="inlineStr">
        <is>
          <t>Document name, default workspace, and whether the account may write to it.</t>
        </is>
      </c>
      <c r="F8" s="5" t="inlineStr">
        <is>
          <t>5 min, in-process</t>
        </is>
      </c>
      <c r="G8" s="5" t="inlineStr">
        <is>
          <t>—</t>
        </is>
      </c>
    </row>
    <row r="9">
      <c r="A9" s="4" t="inlineStr">
        <is>
          <t>A5</t>
        </is>
      </c>
      <c r="B9" s="5" t="inlineStr">
        <is>
          <t>getDocumentInfo (fallback)</t>
        </is>
      </c>
      <c r="C9" s="4" t="inlineStr">
        <is>
          <t>GET</t>
        </is>
      </c>
      <c r="D9" s="6" t="inlineStr">
        <is>
          <t>/documents/d/{did}/workspaces</t>
        </is>
      </c>
      <c r="E9" s="5" t="inlineStr">
        <is>
          <t>Find a workspace when the document record does not name a default one. Conditional, so it has no process row of its own.</t>
        </is>
      </c>
      <c r="F9" s="5" t="inlineStr">
        <is>
          <t>Shares A4's cache entry</t>
        </is>
      </c>
      <c r="G9" s="5" t="inlineStr">
        <is>
          <t>—</t>
        </is>
      </c>
    </row>
    <row r="10">
      <c r="A10" s="4" t="inlineStr">
        <is>
          <t>A6</t>
        </is>
      </c>
      <c r="B10" s="5" t="inlineStr">
        <is>
          <t>listElementParts</t>
        </is>
      </c>
      <c r="C10" s="4" t="inlineStr">
        <is>
          <t>GET</t>
        </is>
      </c>
      <c r="D10" s="6" t="inlineStr">
        <is>
          <t>/parts/d/{did}/{w|v}/{wvid}/e/{eid}</t>
        </is>
      </c>
      <c r="E10" s="5" t="inlineStr">
        <is>
          <t>List the parts in an element — used to resolve a part number to a part id, and by the webhook path.</t>
        </is>
      </c>
      <c r="F10" s="5" t="inlineStr">
        <is>
          <t>None</t>
        </is>
      </c>
      <c r="G10" s="5" t="inlineStr">
        <is>
          <t>ONSHAPE_PARTS_PATH</t>
        </is>
      </c>
    </row>
    <row r="11">
      <c r="A11" s="4" t="inlineStr">
        <is>
          <t>A7</t>
        </is>
      </c>
      <c r="B11" s="5" t="inlineStr">
        <is>
          <t>getAssemblyBom</t>
        </is>
      </c>
      <c r="C11" s="4" t="inlineStr">
        <is>
          <t>GET</t>
        </is>
      </c>
      <c r="D11" s="6" t="inlineStr">
        <is>
          <t>/assemblies/d/{did}/{w|v}/{wvid}/e/{eid}/bom?indented=true&amp;multiLevel=true</t>
        </is>
      </c>
      <c r="E11" s="5" t="inlineStr">
        <is>
          <t>The structured bill of materials. One call returns the WHOLE tree: indent level carries the hierarchy, so subassemblies cost no extra calls.</t>
        </is>
      </c>
      <c r="F11" s="5" t="inlineStr">
        <is>
          <t>None</t>
        </is>
      </c>
      <c r="G11" s="5" t="inlineStr">
        <is>
          <t>ONSHAPE_BOM_PATH</t>
        </is>
      </c>
    </row>
    <row r="12">
      <c r="A12" s="4" t="inlineStr">
        <is>
          <t>A8</t>
        </is>
      </c>
      <c r="B12" s="5" t="inlineStr">
        <is>
          <t>getPartMetadata</t>
        </is>
      </c>
      <c r="C12" s="4" t="inlineStr">
        <is>
          <t>GET</t>
        </is>
      </c>
      <c r="D12" s="6" t="inlineStr">
        <is>
          <t>/metadata/d/{did}/{w|v}/{wvid}/e/{eid}/p/{pid}</t>
        </is>
      </c>
      <c r="E12" s="5" t="inlineStr">
        <is>
          <t>Read every property on the part — the mirror read behind almost every sync.</t>
        </is>
      </c>
      <c r="F12" s="5" t="inlineStr">
        <is>
          <t>None</t>
        </is>
      </c>
      <c r="G12" s="5" t="inlineStr">
        <is>
          <t>—</t>
        </is>
      </c>
    </row>
    <row r="13">
      <c r="A13" s="4" t="inlineStr">
        <is>
          <t>A9</t>
        </is>
      </c>
      <c r="B13" s="5" t="inlineStr">
        <is>
          <t>updatePartProperties</t>
        </is>
      </c>
      <c r="C13" s="4" t="inlineStr">
        <is>
          <t>POST</t>
        </is>
      </c>
      <c r="D13" s="6" t="inlineStr">
        <is>
          <t>/metadata/d/{did}/{w|v}/{wvid}/e/{eid}/p/{pid}</t>
        </is>
      </c>
      <c r="E13" s="5" t="inlineStr">
        <is>
          <t>Write PLM's values back. Sent only for properties whose value differs, so a settled part costs nothing.</t>
        </is>
      </c>
      <c r="F13" s="5" t="inlineStr">
        <is>
          <t>None</t>
        </is>
      </c>
      <c r="G13" s="5" t="inlineStr">
        <is>
          <t>—</t>
        </is>
      </c>
    </row>
    <row r="14">
      <c r="A14" s="4" t="inlineStr">
        <is>
          <t>A10</t>
        </is>
      </c>
      <c r="B14" s="5" t="inlineStr">
        <is>
          <t>getPartThumbnail</t>
        </is>
      </c>
      <c r="C14" s="4" t="inlineStr">
        <is>
          <t>GET</t>
        </is>
      </c>
      <c r="D14" s="6" t="inlineStr">
        <is>
          <t>/parts|/assemblies/d/{did}/{w|v}/{wvid}/e/{eid}/shadedviews/…</t>
        </is>
      </c>
      <c r="E14" s="5" t="inlineStr">
        <is>
          <t>Render an image of the part or assembly.</t>
        </is>
      </c>
      <c r="F14" s="5" t="inlineStr">
        <is>
          <t>7 days in MongoDB; 1 hr backoff after a failure</t>
        </is>
      </c>
      <c r="G14" s="5" t="inlineStr">
        <is>
          <t>ONSHAPE_SHADEDVIEWS_PATH / ONSHAPE_ASSEMBLY_SHADEDVIEWS_PATH</t>
        </is>
      </c>
    </row>
    <row r="15">
      <c r="A15" s="4" t="inlineStr">
        <is>
          <t>A11</t>
        </is>
      </c>
      <c r="B15" s="5" t="inlineStr">
        <is>
          <t>getMassProperties</t>
        </is>
      </c>
      <c r="C15" s="4" t="inlineStr">
        <is>
          <t>GET</t>
        </is>
      </c>
      <c r="D15" s="6" t="inlineStr">
        <is>
          <t>/partstudios|/assemblies/d/{did}/{w|v}/{wvid}/e/{eid}/massproperties</t>
        </is>
      </c>
      <c r="E15" s="5" t="inlineStr">
        <is>
          <t>Mass, volume, density and centre of mass. The mass is synced into PLM's Mass attribute.</t>
        </is>
      </c>
      <c r="F15" s="5" t="inlineStr">
        <is>
          <t>None</t>
        </is>
      </c>
      <c r="G15" s="5" t="inlineStr">
        <is>
          <t>ONSHAPE_MASSPROPERTIES_PATH / ONSHAPE_ASSEMBLY_MASSPROPERTIES_PATH</t>
        </is>
      </c>
    </row>
    <row r="16">
      <c r="A16" s="4" t="inlineStr">
        <is>
          <t>A12</t>
        </is>
      </c>
      <c r="B16" s="5" t="inlineStr">
        <is>
          <t>exportPart (direct)</t>
        </is>
      </c>
      <c r="C16" s="4" t="inlineStr">
        <is>
          <t>GET</t>
        </is>
      </c>
      <c r="D16" s="6" t="inlineStr">
        <is>
          <t>/parts/d/{did}/{w|v}/{wvid}/e/{eid}/{stl|parasolid}</t>
        </is>
      </c>
      <c r="E16" s="5" t="inlineStr">
        <is>
          <t>Formats Onshape streams back directly, with no translation job.</t>
        </is>
      </c>
      <c r="F16" s="5" t="inlineStr">
        <is>
          <t>None</t>
        </is>
      </c>
      <c r="G16" s="5" t="inlineStr">
        <is>
          <t>ONSHAPE_PARTS_PATH</t>
        </is>
      </c>
    </row>
    <row r="17">
      <c r="A17" s="4" t="inlineStr">
        <is>
          <t>A13</t>
        </is>
      </c>
      <c r="B17" s="5" t="inlineStr">
        <is>
          <t>exportViaTranslation</t>
        </is>
      </c>
      <c r="C17" s="4" t="inlineStr">
        <is>
          <t>POST</t>
        </is>
      </c>
      <c r="D17" s="6" t="inlineStr">
        <is>
          <t>/partstudios|/assemblies/d/{did}/{w|v}/{wvid}/e/{eid}/translations</t>
        </is>
      </c>
      <c r="E17" s="5" t="inlineStr">
        <is>
          <t>Request a STEP / IGES / 3MF translation. Asynchronous — see A14 and A15.</t>
        </is>
      </c>
      <c r="F17" s="5" t="inlineStr">
        <is>
          <t>None</t>
        </is>
      </c>
      <c r="G17" s="5" t="inlineStr">
        <is>
          <t>ONSHAPE_TRANSLATIONS_PATH / ONSHAPE_ASSEMBLY_TRANSLATIONS_PATH</t>
        </is>
      </c>
    </row>
    <row r="18">
      <c r="A18" s="4" t="inlineStr">
        <is>
          <t>A14</t>
        </is>
      </c>
      <c r="B18" s="5" t="inlineStr">
        <is>
          <t>awaitTranslation (poll)</t>
        </is>
      </c>
      <c r="C18" s="4" t="inlineStr">
        <is>
          <t>GET</t>
        </is>
      </c>
      <c r="D18" s="6" t="inlineStr">
        <is>
          <t>/translations/{tid}</t>
        </is>
      </c>
      <c r="E18" s="5" t="inlineStr">
        <is>
          <t>Poll a translation job until it leaves ACTIVE/PENDING. Backoff schedule 3s, 5s, 10s, 20s, 25s, 25s.</t>
        </is>
      </c>
      <c r="F18" s="5" t="inlineStr">
        <is>
          <t>None</t>
        </is>
      </c>
      <c r="G18" s="5" t="inlineStr">
        <is>
          <t>—</t>
        </is>
      </c>
    </row>
    <row r="19">
      <c r="A19" s="4" t="inlineStr">
        <is>
          <t>A15</t>
        </is>
      </c>
      <c r="B19" s="5" t="inlineStr">
        <is>
          <t>translation download</t>
        </is>
      </c>
      <c r="C19" s="4" t="inlineStr">
        <is>
          <t>GET</t>
        </is>
      </c>
      <c r="D19" s="6" t="inlineStr">
        <is>
          <t>/documents/d/{did}/externaldata/{fid}</t>
        </is>
      </c>
      <c r="E19" s="5" t="inlineStr">
        <is>
          <t>Fetch the finished translation's bytes.</t>
        </is>
      </c>
      <c r="F19" s="5" t="inlineStr">
        <is>
          <t>None</t>
        </is>
      </c>
      <c r="G19" s="5" t="inlineStr">
        <is>
          <t>—</t>
        </is>
      </c>
    </row>
    <row r="20">
      <c r="A20" s="4" t="inlineStr">
        <is>
          <t>A16</t>
        </is>
      </c>
      <c r="B20" s="5" t="inlineStr">
        <is>
          <t>exportDrawingPdf</t>
        </is>
      </c>
      <c r="C20" s="4" t="inlineStr">
        <is>
          <t>POST</t>
        </is>
      </c>
      <c r="D20" s="6" t="inlineStr">
        <is>
          <t>/drawings/d/{did}/{w|v}/{wvid}/e/{eid}/translations</t>
        </is>
      </c>
      <c r="E20" s="5" t="inlineStr">
        <is>
          <t>Render a drawing to PDF, for the sheets captured with a release.</t>
        </is>
      </c>
      <c r="F20" s="5" t="inlineStr">
        <is>
          <t>None</t>
        </is>
      </c>
      <c r="G20" s="5" t="inlineStr">
        <is>
          <t>ONSHAPE_DRAWINGS_PATH</t>
        </is>
      </c>
    </row>
    <row r="21">
      <c r="A21" s="4" t="inlineStr">
        <is>
          <t>A17</t>
        </is>
      </c>
      <c r="B21" s="5" t="inlineStr">
        <is>
          <t>registerWebhook</t>
        </is>
      </c>
      <c r="C21" s="4" t="inlineStr">
        <is>
          <t>POST</t>
        </is>
      </c>
      <c r="D21" s="6" t="inlineStr">
        <is>
          <t>/webhooks</t>
        </is>
      </c>
      <c r="E21" s="5" t="inlineStr">
        <is>
          <t>Subscribe to the enterprise's metadata, revision and task events.</t>
        </is>
      </c>
      <c r="F21" s="5" t="inlineStr">
        <is>
          <t>None</t>
        </is>
      </c>
      <c r="G21" s="5" t="inlineStr">
        <is>
          <t>—</t>
        </is>
      </c>
    </row>
    <row r="22">
      <c r="A22" s="4" t="inlineStr">
        <is>
          <t>A18</t>
        </is>
      </c>
      <c r="B22" s="5" t="inlineStr">
        <is>
          <t>listWebhooks</t>
        </is>
      </c>
      <c r="C22" s="4" t="inlineStr">
        <is>
          <t>GET</t>
        </is>
      </c>
      <c r="D22" s="6" t="inlineStr">
        <is>
          <t>/webhooks?company={companyId}</t>
        </is>
      </c>
      <c r="E22" s="5" t="inlineStr">
        <is>
          <t>List what Onshape already holds, so orphaned subscriptions can be cleared.</t>
        </is>
      </c>
      <c r="F22" s="5" t="inlineStr">
        <is>
          <t>None</t>
        </is>
      </c>
      <c r="G22" s="5" t="inlineStr">
        <is>
          <t>—</t>
        </is>
      </c>
    </row>
    <row r="23">
      <c r="A23" s="4" t="inlineStr">
        <is>
          <t>A19</t>
        </is>
      </c>
      <c r="B23" s="5" t="inlineStr">
        <is>
          <t>unregisterWebhook</t>
        </is>
      </c>
      <c r="C23" s="4" t="inlineStr">
        <is>
          <t>DELETE</t>
        </is>
      </c>
      <c r="D23" s="6" t="inlineStr">
        <is>
          <t>/webhooks/{webhookId}</t>
        </is>
      </c>
      <c r="E23" s="5" t="inlineStr">
        <is>
          <t>Remove a subscription PLM no longer owns.</t>
        </is>
      </c>
      <c r="F23" s="5" t="inlineStr">
        <is>
          <t>None</t>
        </is>
      </c>
      <c r="G23" s="5" t="inlineStr">
        <is>
          <t>—</t>
        </is>
      </c>
    </row>
    <row r="24">
      <c r="A24" s="4" t="inlineStr">
        <is>
          <t>A20</t>
        </is>
      </c>
      <c r="B24" s="5" t="inlineStr">
        <is>
          <t>getReleaseWorkflow (policies)</t>
        </is>
      </c>
      <c r="C24" s="4" t="inlineStr">
        <is>
          <t>GET</t>
        </is>
      </c>
      <c r="D24" s="6" t="inlineStr">
        <is>
          <t>/companies/{companyId}/policies</t>
        </is>
      </c>
      <c r="E24" s="5" t="inlineStr">
        <is>
          <t>Find the enterprise's release workflow id, needed to raise a package.</t>
        </is>
      </c>
      <c r="F24" s="5" t="inlineStr">
        <is>
          <t>None</t>
        </is>
      </c>
      <c r="G24" s="5" t="inlineStr">
        <is>
          <t>—</t>
        </is>
      </c>
    </row>
    <row r="25">
      <c r="A25" s="4" t="inlineStr">
        <is>
          <t>A21</t>
        </is>
      </c>
      <c r="B25" s="5" t="inlineStr">
        <is>
          <t>getReleaseWorkflow (active)</t>
        </is>
      </c>
      <c r="C25" s="4" t="inlineStr">
        <is>
          <t>GET</t>
        </is>
      </c>
      <c r="D25" s="6" t="inlineStr">
        <is>
          <t>/workflow/active</t>
        </is>
      </c>
      <c r="E25" s="5" t="inlineStr">
        <is>
          <t>Fallback when the policy document does not name a workflow.</t>
        </is>
      </c>
      <c r="F25" s="5" t="inlineStr">
        <is>
          <t>None</t>
        </is>
      </c>
      <c r="G25" s="5" t="inlineStr">
        <is>
          <t>—</t>
        </is>
      </c>
    </row>
    <row r="26">
      <c r="A26" s="4" t="inlineStr">
        <is>
          <t>A22</t>
        </is>
      </c>
      <c r="B26" s="5" t="inlineStr">
        <is>
          <t>getReleasePackage</t>
        </is>
      </c>
      <c r="C26" s="4" t="inlineStr">
        <is>
          <t>GET</t>
        </is>
      </c>
      <c r="D26" s="6" t="inlineStr">
        <is>
          <t>/releasepackages/{rpid}</t>
        </is>
      </c>
      <c r="E26" s="5" t="inlineStr">
        <is>
          <t>The package: items, properties, and the workflow actions currently on offer. Also the poll used while waiting for a transition to land.</t>
        </is>
      </c>
      <c r="F26" s="5" t="inlineStr">
        <is>
          <t>None</t>
        </is>
      </c>
      <c r="G26" s="5" t="inlineStr">
        <is>
          <t>—</t>
        </is>
      </c>
    </row>
    <row r="27">
      <c r="A27" s="4" t="inlineStr">
        <is>
          <t>A23</t>
        </is>
      </c>
      <c r="B27" s="5" t="inlineStr">
        <is>
          <t>transitionReleasePackage</t>
        </is>
      </c>
      <c r="C27" s="4" t="inlineStr">
        <is>
          <t>POST</t>
        </is>
      </c>
      <c r="D27" s="6" t="inlineStr">
        <is>
          <t>/releasepackages/{rpid}?action=UPDATE&amp;wfaction={actionId}</t>
        </is>
      </c>
      <c r="E27" s="5" t="inlineStr">
        <is>
          <t>Approve or reject. The workflow action is the wfaction QUERY parameter; 'action' is a different parameter entirely.</t>
        </is>
      </c>
      <c r="F27" s="5" t="inlineStr">
        <is>
          <t>None</t>
        </is>
      </c>
      <c r="G27" s="5" t="inlineStr">
        <is>
          <t>—</t>
        </is>
      </c>
    </row>
    <row r="28">
      <c r="A28" s="4" t="inlineStr">
        <is>
          <t>A24</t>
        </is>
      </c>
      <c r="B28" s="5" t="inlineStr">
        <is>
          <t>createReleasePackage</t>
        </is>
      </c>
      <c r="C28" s="4" t="inlineStr">
        <is>
          <t>POST</t>
        </is>
      </c>
      <c r="D28" s="6" t="inlineStr">
        <is>
          <t>/releasepackages/release/{wfid}</t>
        </is>
      </c>
      <c r="E28" s="5" t="inlineStr">
        <is>
          <t>Raise a release from PLM rather than reacting to one raised in Onshape.</t>
        </is>
      </c>
      <c r="F28" s="5" t="inlineStr">
        <is>
          <t>None</t>
        </is>
      </c>
      <c r="G28" s="5" t="inlineStr">
        <is>
          <t>—</t>
        </is>
      </c>
    </row>
    <row r="29">
      <c r="A29" s="4" t="inlineStr">
        <is>
          <t>A25</t>
        </is>
      </c>
      <c r="B29" s="5" t="inlineStr">
        <is>
          <t>getWorkflowObjectState</t>
        </is>
      </c>
      <c r="C29" s="4" t="inlineStr">
        <is>
          <t>GET</t>
        </is>
      </c>
      <c r="D29" s="6" t="inlineStr">
        <is>
          <t>/workflow/obj/{objectId}</t>
        </is>
      </c>
      <c r="E29" s="5" t="inlineStr">
        <is>
          <t>Lightweight state check on a workflow object, instead of re-reading a whole package. IMPLEMENTED BUT NOT CURRENTLY CALLED — kept as the cheaper alternative to polling A22.</t>
        </is>
      </c>
      <c r="F29" s="5" t="inlineStr">
        <is>
          <t>None</t>
        </is>
      </c>
      <c r="G29" s="5" t="inlineStr">
        <is>
          <t>—</t>
        </is>
      </c>
    </row>
    <row r="30">
      <c r="A30" s="4" t="inlineStr">
        <is>
          <t>A26</t>
        </is>
      </c>
      <c r="B30" s="5" t="inlineStr">
        <is>
          <t>listElements</t>
        </is>
      </c>
      <c r="C30" s="4" t="inlineStr">
        <is>
          <t>GET</t>
        </is>
      </c>
      <c r="D30" s="6" t="inlineStr">
        <is>
          <t>/documents/d/{did}/{w|v}/{wvid}/elements</t>
        </is>
      </c>
      <c r="E30" s="5" t="inlineStr">
        <is>
          <t>Every tab in a document — used when raising a release to find the drawings that belong with a part.</t>
        </is>
      </c>
      <c r="F30" s="5" t="inlineStr">
        <is>
          <t>None</t>
        </is>
      </c>
      <c r="G30" s="5" t="inlineStr">
        <is>
          <t>—</t>
        </is>
      </c>
    </row>
    <row r="31">
      <c r="A31" s="4" t="inlineStr">
        <is>
          <t>A27</t>
        </is>
      </c>
      <c r="B31" s="5" t="inlineStr">
        <is>
          <t>listTasks</t>
        </is>
      </c>
      <c r="C31" s="4" t="inlineStr">
        <is>
          <t>GET</t>
        </is>
      </c>
      <c r="D31" s="6" t="inlineStr">
        <is>
          <t>/tasks?limit=100&amp;offset={n}</t>
        </is>
      </c>
      <c r="E31" s="5" t="inlineStr">
        <is>
          <t>getActionItems: tasks the calling account created or was assigned. limit is capped at 100 and enforced, so PLM pages.</t>
        </is>
      </c>
      <c r="F31" s="5" t="inlineStr">
        <is>
          <t>None</t>
        </is>
      </c>
      <c r="G31" s="5" t="inlineStr">
        <is>
          <t>ONSHAPE_TASKS_PATH</t>
        </is>
      </c>
    </row>
    <row r="32">
      <c r="A32" s="4" t="inlineStr">
        <is>
          <t>A28</t>
        </is>
      </c>
      <c r="B32" s="5" t="inlineStr">
        <is>
          <t>findTasks</t>
        </is>
      </c>
      <c r="C32" s="4" t="inlineStr">
        <is>
          <t>POST</t>
        </is>
      </c>
      <c r="D32" s="6" t="inlineStr">
        <is>
          <t>/tasks/find</t>
        </is>
      </c>
      <c r="E32" s="5" t="inlineStr">
        <is>
          <t>Every task in the enterprise, not just the caller's. Unpublished (x-BTVisibility: INTERNAL). Paging is in the BODY (from/size).</t>
        </is>
      </c>
      <c r="F32" s="5" t="inlineStr">
        <is>
          <t>None</t>
        </is>
      </c>
      <c r="G32" s="5" t="inlineStr">
        <is>
          <t>ONSHAPE_TASKS_PATH</t>
        </is>
      </c>
    </row>
    <row r="33">
      <c r="A33" s="4" t="inlineStr">
        <is>
          <t>A29</t>
        </is>
      </c>
      <c r="B33" s="5" t="inlineStr">
        <is>
          <t>getTask</t>
        </is>
      </c>
      <c r="C33" s="4" t="inlineStr">
        <is>
          <t>GET</t>
        </is>
      </c>
      <c r="D33" s="6" t="inlineStr">
        <is>
          <t>/tasks/{tid}</t>
        </is>
      </c>
      <c r="E33" s="5" t="inlineStr">
        <is>
          <t>One task in full, with the workflow snapshot that carries its state and available transitions.</t>
        </is>
      </c>
      <c r="F33" s="5" t="inlineStr">
        <is>
          <t>None</t>
        </is>
      </c>
      <c r="G33" s="5" t="inlineStr">
        <is>
          <t>ONSHAPE_TASKS_PATH</t>
        </is>
      </c>
    </row>
    <row r="34">
      <c r="A34" s="4" t="inlineStr">
        <is>
          <t>A30</t>
        </is>
      </c>
      <c r="B34" s="5" t="inlineStr">
        <is>
          <t>transitionTask</t>
        </is>
      </c>
      <c r="C34" s="4" t="inlineStr">
        <is>
          <t>POST</t>
        </is>
      </c>
      <c r="D34" s="6" t="inlineStr">
        <is>
          <t>/tasks/{tid}/{transition}</t>
        </is>
      </c>
      <c r="E34" s="5" t="inlineStr">
        <is>
          <t>Complete or discard a task. The value is the action's 'action' field, not its 'type'.</t>
        </is>
      </c>
      <c r="F34" s="5" t="inlineStr">
        <is>
          <t>None</t>
        </is>
      </c>
      <c r="G34" s="5" t="inlineStr">
        <is>
          <t>ONSHAPE_TASKS_PATH</t>
        </is>
      </c>
    </row>
    <row r="35">
      <c r="A35" s="4" t="inlineStr">
        <is>
          <t>A31</t>
        </is>
      </c>
      <c r="B35" s="5" t="inlineStr">
        <is>
          <t>updateTask</t>
        </is>
      </c>
      <c r="C35" s="4" t="inlineStr">
        <is>
          <t>POST</t>
        </is>
      </c>
      <c r="D35" s="6" t="inlineStr">
        <is>
          <t>/tasks/{tid}</t>
        </is>
      </c>
      <c r="E35" s="5" t="inlineStr">
        <is>
          <t>Change name, description or properties. ALSO how a comment is posted — a comment is a write to the workflow's Comment property.</t>
        </is>
      </c>
      <c r="F35" s="5" t="inlineStr">
        <is>
          <t>None</t>
        </is>
      </c>
      <c r="G35" s="5" t="inlineStr">
        <is>
          <t>ONSHAPE_TASKS_PATH</t>
        </is>
      </c>
    </row>
    <row r="36">
      <c r="A36" s="4" t="inlineStr">
        <is>
          <t>A32</t>
        </is>
      </c>
      <c r="B36" s="5" t="inlineStr">
        <is>
          <t>deleteTask</t>
        </is>
      </c>
      <c r="C36" s="4" t="inlineStr">
        <is>
          <t>DELETE</t>
        </is>
      </c>
      <c r="D36" s="6" t="inlineStr">
        <is>
          <t>/tasks/{tid}</t>
        </is>
      </c>
      <c r="E36" s="5" t="inlineStr">
        <is>
          <t>Delete a task outright. Unpublished, and refused for most tasks — PLM falls back to the workflow's discard transition (A30).</t>
        </is>
      </c>
      <c r="F36" s="5" t="inlineStr">
        <is>
          <t>None</t>
        </is>
      </c>
      <c r="G36" s="5" t="inlineStr">
        <is>
          <t>ONSHAPE_TASKS_PATH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0" customWidth="1" min="3" max="3"/>
    <col width="7" customWidth="1" min="4" max="4"/>
    <col width="26" customWidth="1" min="5" max="5"/>
    <col width="11" customWidth="1" min="6" max="6"/>
    <col width="11" customWidth="1" min="7" max="7"/>
    <col width="13" customWidth="1" min="8" max="8"/>
    <col width="62" customWidth="1" min="9" max="9"/>
  </cols>
  <sheetData>
    <row r="1">
      <c r="A1" s="1" t="inlineStr">
        <is>
          <t>Onshape API calls by business process</t>
        </is>
      </c>
    </row>
    <row r="2">
      <c r="A2" s="2" t="inlineStr">
        <is>
          <t>Counts are per unit named in Scope. Rows shaded yellow are PER PART (or per drawing / per task). 'Cold' = nothing in the 5-minute element/document cache (the first part of a run); 'Warm' = those lookups already cached (every subsequent part).</t>
        </is>
      </c>
    </row>
    <row r="4" ht="30" customHeight="1">
      <c r="A4" s="3" t="inlineStr">
        <is>
          <t>Business process</t>
        </is>
      </c>
      <c r="B4" s="3" t="inlineStr">
        <is>
          <t>Trigger</t>
        </is>
      </c>
      <c r="C4" s="3" t="inlineStr">
        <is>
          <t>Scope</t>
        </is>
      </c>
      <c r="D4" s="3" t="inlineStr">
        <is>
          <t>Ref</t>
        </is>
      </c>
      <c r="E4" s="3" t="inlineStr">
        <is>
          <t>API call</t>
        </is>
      </c>
      <c r="F4" s="3" t="inlineStr">
        <is>
          <t>Cold cache</t>
        </is>
      </c>
      <c r="G4" s="3" t="inlineStr">
        <is>
          <t>Warm cache</t>
        </is>
      </c>
      <c r="H4" s="3" t="inlineStr">
        <is>
          <t>Range</t>
        </is>
      </c>
      <c r="I4" s="3" t="inlineStr">
        <is>
          <t>Notes</t>
        </is>
      </c>
    </row>
    <row r="5">
      <c r="A5" s="7" t="inlineStr">
        <is>
          <t>Open the PLM panel</t>
        </is>
      </c>
      <c r="B5" s="7" t="inlineStr">
        <is>
          <t>Onshape right panel opens on a part</t>
        </is>
      </c>
      <c r="C5" s="7" t="inlineStr">
        <is>
          <t>PER PART, per open</t>
        </is>
      </c>
      <c r="D5" s="8" t="inlineStr">
        <is>
          <t>A3</t>
        </is>
      </c>
      <c r="E5" s="7" t="inlineStr">
        <is>
          <t>GET element</t>
        </is>
      </c>
      <c r="F5" s="8" t="n">
        <v>1</v>
      </c>
      <c r="G5" s="8" t="n">
        <v>0</v>
      </c>
      <c r="H5" s="7" t="n"/>
      <c r="I5" s="7" t="inlineStr">
        <is>
          <t>Cached for 5 minutes, so only the first part looked at in a tab pays for it.</t>
        </is>
      </c>
    </row>
    <row r="6">
      <c r="A6" s="7" t="inlineStr">
        <is>
          <t>Open the PLM panel</t>
        </is>
      </c>
      <c r="B6" s="7" t="inlineStr">
        <is>
          <t>Onshape right panel opens on a part</t>
        </is>
      </c>
      <c r="C6" s="7" t="inlineStr">
        <is>
          <t>PER PART, per open</t>
        </is>
      </c>
      <c r="D6" s="8" t="inlineStr">
        <is>
          <t>A8</t>
        </is>
      </c>
      <c r="E6" s="7" t="inlineStr">
        <is>
          <t>GET part metadata</t>
        </is>
      </c>
      <c r="F6" s="8" t="n">
        <v>1</v>
      </c>
      <c r="G6" s="8" t="n">
        <v>1</v>
      </c>
      <c r="H6" s="7" t="n"/>
      <c r="I6" s="7" t="inlineStr">
        <is>
          <t>The mirror read. Never cached — the panel must show what Onshape holds now.</t>
        </is>
      </c>
    </row>
    <row r="7">
      <c r="A7" s="7" t="inlineStr">
        <is>
          <t>Open the PLM panel</t>
        </is>
      </c>
      <c r="B7" s="7" t="inlineStr">
        <is>
          <t>Onshape right panel opens on a part</t>
        </is>
      </c>
      <c r="C7" s="7" t="inlineStr">
        <is>
          <t>PER PART, per open</t>
        </is>
      </c>
      <c r="D7" s="8" t="inlineStr">
        <is>
          <t>A9</t>
        </is>
      </c>
      <c r="E7" s="7" t="inlineStr">
        <is>
          <t>POST part metadata</t>
        </is>
      </c>
      <c r="F7" s="8" t="n">
        <v>0</v>
      </c>
      <c r="G7" s="8" t="n">
        <v>0</v>
      </c>
      <c r="H7" s="7" t="inlineStr">
        <is>
          <t>0–1</t>
        </is>
      </c>
      <c r="I7" s="7" t="inlineStr">
        <is>
          <t>Only when a mapped value differs. A settled part costs nothing.</t>
        </is>
      </c>
    </row>
    <row r="8">
      <c r="A8" s="7" t="inlineStr">
        <is>
          <t>Enrol a part (Sync to PLM)</t>
        </is>
      </c>
      <c r="B8" s="7" t="inlineStr">
        <is>
          <t>Panel → Sync to PLM</t>
        </is>
      </c>
      <c r="C8" s="7" t="inlineStr">
        <is>
          <t>PER PART</t>
        </is>
      </c>
      <c r="D8" s="8" t="inlineStr">
        <is>
          <t>A3</t>
        </is>
      </c>
      <c r="E8" s="7" t="inlineStr">
        <is>
          <t>GET element</t>
        </is>
      </c>
      <c r="F8" s="8" t="n">
        <v>1</v>
      </c>
      <c r="G8" s="8" t="n">
        <v>0</v>
      </c>
      <c r="H8" s="7" t="n"/>
      <c r="I8" s="7" t="inlineStr">
        <is>
          <t>Refuses a drawing or the wrong element type before anything is written.</t>
        </is>
      </c>
    </row>
    <row r="9">
      <c r="A9" s="7" t="inlineStr">
        <is>
          <t>Enrol a part (Sync to PLM)</t>
        </is>
      </c>
      <c r="B9" s="7" t="inlineStr">
        <is>
          <t>Panel → Sync to PLM</t>
        </is>
      </c>
      <c r="C9" s="7" t="inlineStr">
        <is>
          <t>PER PART</t>
        </is>
      </c>
      <c r="D9" s="8" t="inlineStr">
        <is>
          <t>A8</t>
        </is>
      </c>
      <c r="E9" s="7" t="inlineStr">
        <is>
          <t>GET part metadata</t>
        </is>
      </c>
      <c r="F9" s="8" t="n">
        <v>1</v>
      </c>
      <c r="G9" s="8" t="n">
        <v>1</v>
      </c>
      <c r="H9" s="7" t="n"/>
      <c r="I9" s="7" t="n"/>
    </row>
    <row r="10">
      <c r="A10" s="7" t="inlineStr">
        <is>
          <t>Enrol a part (Sync to PLM)</t>
        </is>
      </c>
      <c r="B10" s="7" t="inlineStr">
        <is>
          <t>Panel → Sync to PLM</t>
        </is>
      </c>
      <c r="C10" s="7" t="inlineStr">
        <is>
          <t>PER PART</t>
        </is>
      </c>
      <c r="D10" s="8" t="inlineStr">
        <is>
          <t>A9</t>
        </is>
      </c>
      <c r="E10" s="7" t="inlineStr">
        <is>
          <t>POST part metadata</t>
        </is>
      </c>
      <c r="F10" s="8" t="n">
        <v>0</v>
      </c>
      <c r="G10" s="8" t="n">
        <v>0</v>
      </c>
      <c r="H10" s="7" t="inlineStr">
        <is>
          <t>0–1</t>
        </is>
      </c>
      <c r="I10" s="7" t="inlineStr">
        <is>
          <t>Writes the PLM number back on first enrolment, then only on a real difference.</t>
        </is>
      </c>
    </row>
    <row r="11">
      <c r="A11" s="7" t="inlineStr">
        <is>
          <t>Part changed in Onshape</t>
        </is>
      </c>
      <c r="B11" s="7" t="inlineStr">
        <is>
          <t>Onshape metadata webhook</t>
        </is>
      </c>
      <c r="C11" s="7" t="inlineStr">
        <is>
          <t>PER PART</t>
        </is>
      </c>
      <c r="D11" s="8" t="inlineStr">
        <is>
          <t>A6</t>
        </is>
      </c>
      <c r="E11" s="7" t="inlineStr">
        <is>
          <t>GET element parts</t>
        </is>
      </c>
      <c r="F11" s="8" t="n">
        <v>0</v>
      </c>
      <c r="G11" s="8" t="n">
        <v>0</v>
      </c>
      <c r="H11" s="7" t="inlineStr">
        <is>
          <t>0–1</t>
        </is>
      </c>
      <c r="I11" s="7" t="inlineStr">
        <is>
          <t>Only when the event names no part id and the part has to be resolved.</t>
        </is>
      </c>
    </row>
    <row r="12">
      <c r="A12" s="7" t="inlineStr">
        <is>
          <t>Part changed in Onshape</t>
        </is>
      </c>
      <c r="B12" s="7" t="inlineStr">
        <is>
          <t>Onshape metadata webhook</t>
        </is>
      </c>
      <c r="C12" s="7" t="inlineStr">
        <is>
          <t>PER PART</t>
        </is>
      </c>
      <c r="D12" s="8" t="inlineStr">
        <is>
          <t>A3</t>
        </is>
      </c>
      <c r="E12" s="7" t="inlineStr">
        <is>
          <t>GET element</t>
        </is>
      </c>
      <c r="F12" s="8" t="n">
        <v>1</v>
      </c>
      <c r="G12" s="8" t="n">
        <v>0</v>
      </c>
      <c r="H12" s="7" t="n"/>
      <c r="I12" s="7" t="n"/>
    </row>
    <row r="13">
      <c r="A13" s="7" t="inlineStr">
        <is>
          <t>Part changed in Onshape</t>
        </is>
      </c>
      <c r="B13" s="7" t="inlineStr">
        <is>
          <t>Onshape metadata webhook</t>
        </is>
      </c>
      <c r="C13" s="7" t="inlineStr">
        <is>
          <t>PER PART</t>
        </is>
      </c>
      <c r="D13" s="8" t="inlineStr">
        <is>
          <t>A8</t>
        </is>
      </c>
      <c r="E13" s="7" t="inlineStr">
        <is>
          <t>GET part metadata</t>
        </is>
      </c>
      <c r="F13" s="8" t="n">
        <v>1</v>
      </c>
      <c r="G13" s="8" t="n">
        <v>1</v>
      </c>
      <c r="H13" s="7" t="n"/>
      <c r="I13" s="7" t="n"/>
    </row>
    <row r="14">
      <c r="A14" s="7" t="inlineStr">
        <is>
          <t>Part changed in Onshape</t>
        </is>
      </c>
      <c r="B14" s="7" t="inlineStr">
        <is>
          <t>Onshape metadata webhook</t>
        </is>
      </c>
      <c r="C14" s="7" t="inlineStr">
        <is>
          <t>PER PART</t>
        </is>
      </c>
      <c r="D14" s="8" t="inlineStr">
        <is>
          <t>A9</t>
        </is>
      </c>
      <c r="E14" s="7" t="inlineStr">
        <is>
          <t>POST part metadata</t>
        </is>
      </c>
      <c r="F14" s="8" t="n">
        <v>0</v>
      </c>
      <c r="G14" s="8" t="n">
        <v>0</v>
      </c>
      <c r="H14" s="7" t="inlineStr">
        <is>
          <t>0–1</t>
        </is>
      </c>
      <c r="I14" s="7" t="inlineStr">
        <is>
          <t>Suppressed for PLM's own writes, or the echo would loop.</t>
        </is>
      </c>
    </row>
    <row r="15">
      <c r="A15" s="7" t="inlineStr">
        <is>
          <t>Push PLM fields to Onshape</t>
        </is>
      </c>
      <c r="B15" s="7" t="inlineStr">
        <is>
          <t>Part page → Save</t>
        </is>
      </c>
      <c r="C15" s="7" t="inlineStr">
        <is>
          <t>PER PART</t>
        </is>
      </c>
      <c r="D15" s="8" t="inlineStr">
        <is>
          <t>A9</t>
        </is>
      </c>
      <c r="E15" s="7" t="inlineStr">
        <is>
          <t>POST part metadata</t>
        </is>
      </c>
      <c r="F15" s="8" t="n">
        <v>1</v>
      </c>
      <c r="G15" s="8" t="n">
        <v>1</v>
      </c>
      <c r="H15" s="7" t="n"/>
      <c r="I15" s="7" t="inlineStr">
        <is>
          <t>Only the properties that actually differ are sent.</t>
        </is>
      </c>
    </row>
    <row r="16">
      <c r="A16" s="7" t="inlineStr">
        <is>
          <t>Import from Assembly — each row</t>
        </is>
      </c>
      <c r="B16" s="7" t="inlineStr">
        <is>
          <t>Import → Import selected</t>
        </is>
      </c>
      <c r="C16" s="7" t="inlineStr">
        <is>
          <t>PER PART</t>
        </is>
      </c>
      <c r="D16" s="8" t="inlineStr">
        <is>
          <t>A3</t>
        </is>
      </c>
      <c r="E16" s="7" t="inlineStr">
        <is>
          <t>GET element</t>
        </is>
      </c>
      <c r="F16" s="8" t="n">
        <v>1</v>
      </c>
      <c r="G16" s="8" t="n">
        <v>0</v>
      </c>
      <c r="H16" s="7" t="n"/>
      <c r="I16" s="7" t="inlineStr">
        <is>
          <t>Warm for every row after the first in the same tab.</t>
        </is>
      </c>
    </row>
    <row r="17">
      <c r="A17" s="7" t="inlineStr">
        <is>
          <t>Import from Assembly — each row</t>
        </is>
      </c>
      <c r="B17" s="7" t="inlineStr">
        <is>
          <t>Import → Import selected</t>
        </is>
      </c>
      <c r="C17" s="7" t="inlineStr">
        <is>
          <t>PER PART</t>
        </is>
      </c>
      <c r="D17" s="8" t="inlineStr">
        <is>
          <t>A8</t>
        </is>
      </c>
      <c r="E17" s="7" t="inlineStr">
        <is>
          <t>GET part metadata</t>
        </is>
      </c>
      <c r="F17" s="8" t="n">
        <v>1</v>
      </c>
      <c r="G17" s="8" t="n">
        <v>1</v>
      </c>
      <c r="H17" s="7" t="n"/>
      <c r="I17" s="7" t="n"/>
    </row>
    <row r="18">
      <c r="A18" s="7" t="inlineStr">
        <is>
          <t>Import from Assembly — each row</t>
        </is>
      </c>
      <c r="B18" s="7" t="inlineStr">
        <is>
          <t>Import → Import selected</t>
        </is>
      </c>
      <c r="C18" s="7" t="inlineStr">
        <is>
          <t>PER PART</t>
        </is>
      </c>
      <c r="D18" s="8" t="inlineStr">
        <is>
          <t>A9</t>
        </is>
      </c>
      <c r="E18" s="7" t="inlineStr">
        <is>
          <t>POST part metadata</t>
        </is>
      </c>
      <c r="F18" s="8" t="n">
        <v>0</v>
      </c>
      <c r="G18" s="8" t="n">
        <v>0</v>
      </c>
      <c r="H18" s="7" t="inlineStr">
        <is>
          <t>0–1</t>
        </is>
      </c>
      <c r="I18" s="7" t="n"/>
    </row>
    <row r="19">
      <c r="A19" s="7" t="inlineStr">
        <is>
          <t>Re-sync all from Onshape</t>
        </is>
      </c>
      <c r="B19" s="7" t="inlineStr">
        <is>
          <t>Dashboard → Re-sync</t>
        </is>
      </c>
      <c r="C19" s="7" t="inlineStr">
        <is>
          <t>PER PART</t>
        </is>
      </c>
      <c r="D19" s="8" t="inlineStr">
        <is>
          <t>A3</t>
        </is>
      </c>
      <c r="E19" s="7" t="inlineStr">
        <is>
          <t>GET element</t>
        </is>
      </c>
      <c r="F19" s="8" t="n">
        <v>1</v>
      </c>
      <c r="G19" s="8" t="n">
        <v>0</v>
      </c>
      <c r="H19" s="7" t="n"/>
      <c r="I19" s="7" t="n"/>
    </row>
    <row r="20">
      <c r="A20" s="7" t="inlineStr">
        <is>
          <t>Re-sync all from Onshape</t>
        </is>
      </c>
      <c r="B20" s="7" t="inlineStr">
        <is>
          <t>Dashboard → Re-sync</t>
        </is>
      </c>
      <c r="C20" s="7" t="inlineStr">
        <is>
          <t>PER PART</t>
        </is>
      </c>
      <c r="D20" s="8" t="inlineStr">
        <is>
          <t>A8</t>
        </is>
      </c>
      <c r="E20" s="7" t="inlineStr">
        <is>
          <t>GET part metadata</t>
        </is>
      </c>
      <c r="F20" s="8" t="n">
        <v>1</v>
      </c>
      <c r="G20" s="8" t="n">
        <v>1</v>
      </c>
      <c r="H20" s="7" t="n"/>
      <c r="I20" s="7" t="n"/>
    </row>
    <row r="21">
      <c r="A21" s="7" t="inlineStr">
        <is>
          <t>Re-sync all from Onshape</t>
        </is>
      </c>
      <c r="B21" s="7" t="inlineStr">
        <is>
          <t>Dashboard → Re-sync</t>
        </is>
      </c>
      <c r="C21" s="7" t="inlineStr">
        <is>
          <t>PER PART</t>
        </is>
      </c>
      <c r="D21" s="8" t="inlineStr">
        <is>
          <t>A9</t>
        </is>
      </c>
      <c r="E21" s="7" t="inlineStr">
        <is>
          <t>POST part metadata</t>
        </is>
      </c>
      <c r="F21" s="8" t="n">
        <v>0</v>
      </c>
      <c r="G21" s="8" t="n">
        <v>0</v>
      </c>
      <c r="H21" s="7" t="inlineStr">
        <is>
          <t>0–1</t>
        </is>
      </c>
      <c r="I21" s="7" t="n"/>
    </row>
    <row r="22">
      <c r="A22" s="7" t="inlineStr">
        <is>
          <t>Part released (revision)</t>
        </is>
      </c>
      <c r="B22" s="7" t="inlineStr">
        <is>
          <t>Release takeover, per part in the package</t>
        </is>
      </c>
      <c r="C22" s="7" t="inlineStr">
        <is>
          <t>PER PART</t>
        </is>
      </c>
      <c r="D22" s="8" t="inlineStr">
        <is>
          <t>A3</t>
        </is>
      </c>
      <c r="E22" s="7" t="inlineStr">
        <is>
          <t>GET element</t>
        </is>
      </c>
      <c r="F22" s="8" t="n">
        <v>1</v>
      </c>
      <c r="G22" s="8" t="n">
        <v>0</v>
      </c>
      <c r="H22" s="7" t="n"/>
      <c r="I22" s="7" t="n"/>
    </row>
    <row r="23">
      <c r="A23" s="7" t="inlineStr">
        <is>
          <t>Part released (revision)</t>
        </is>
      </c>
      <c r="B23" s="7" t="inlineStr">
        <is>
          <t>Release takeover, per part in the package</t>
        </is>
      </c>
      <c r="C23" s="7" t="inlineStr">
        <is>
          <t>PER PART</t>
        </is>
      </c>
      <c r="D23" s="8" t="inlineStr">
        <is>
          <t>A8</t>
        </is>
      </c>
      <c r="E23" s="7" t="inlineStr">
        <is>
          <t>GET part metadata</t>
        </is>
      </c>
      <c r="F23" s="8" t="n">
        <v>1</v>
      </c>
      <c r="G23" s="8" t="n">
        <v>1</v>
      </c>
      <c r="H23" s="7" t="n"/>
      <c r="I23" s="7" t="inlineStr">
        <is>
          <t>Reads the revision Onshape assigned, and snapshots the iteration.</t>
        </is>
      </c>
    </row>
    <row r="24">
      <c r="A24" s="7" t="inlineStr">
        <is>
          <t>Part released (revision)</t>
        </is>
      </c>
      <c r="B24" s="7" t="inlineStr">
        <is>
          <t>Release takeover, per part in the package</t>
        </is>
      </c>
      <c r="C24" s="7" t="inlineStr">
        <is>
          <t>PER PART</t>
        </is>
      </c>
      <c r="D24" s="8" t="inlineStr">
        <is>
          <t>A9</t>
        </is>
      </c>
      <c r="E24" s="7" t="inlineStr">
        <is>
          <t>POST part metadata</t>
        </is>
      </c>
      <c r="F24" s="8" t="n">
        <v>0</v>
      </c>
      <c r="G24" s="8" t="n">
        <v>0</v>
      </c>
      <c r="H24" s="7" t="inlineStr">
        <is>
          <t>0–1</t>
        </is>
      </c>
      <c r="I24" s="7" t="n"/>
    </row>
    <row r="25">
      <c r="A25" s="7" t="inlineStr">
        <is>
          <t>Drawing captured with a release</t>
        </is>
      </c>
      <c r="B25" s="7" t="inlineStr">
        <is>
          <t>Release takeover / drawing refresh</t>
        </is>
      </c>
      <c r="C25" s="7" t="inlineStr">
        <is>
          <t>PER DRAWING</t>
        </is>
      </c>
      <c r="D25" s="8" t="inlineStr">
        <is>
          <t>A16</t>
        </is>
      </c>
      <c r="E25" s="7" t="inlineStr">
        <is>
          <t>POST drawing translation</t>
        </is>
      </c>
      <c r="F25" s="8" t="n">
        <v>1</v>
      </c>
      <c r="G25" s="8" t="n">
        <v>1</v>
      </c>
      <c r="H25" s="7" t="n"/>
      <c r="I25" s="7" t="inlineStr">
        <is>
          <t>One PDF render per drawing sheet in the package.</t>
        </is>
      </c>
    </row>
    <row r="26">
      <c r="A26" s="7" t="inlineStr">
        <is>
          <t>Drawing captured with a release</t>
        </is>
      </c>
      <c r="B26" s="7" t="inlineStr">
        <is>
          <t>Release takeover / drawing refresh</t>
        </is>
      </c>
      <c r="C26" s="7" t="inlineStr">
        <is>
          <t>PER DRAWING</t>
        </is>
      </c>
      <c r="D26" s="8" t="inlineStr">
        <is>
          <t>A14</t>
        </is>
      </c>
      <c r="E26" s="7" t="inlineStr">
        <is>
          <t>GET translation</t>
        </is>
      </c>
      <c r="F26" s="8" t="n">
        <v>1</v>
      </c>
      <c r="G26" s="8" t="n">
        <v>1</v>
      </c>
      <c r="H26" s="7" t="inlineStr">
        <is>
          <t>1–7</t>
        </is>
      </c>
      <c r="I26" s="7" t="inlineStr">
        <is>
          <t>Polled on a 3s/5s/10s/20s/25s/25s backoff until the render finishes.</t>
        </is>
      </c>
    </row>
    <row r="27">
      <c r="A27" s="7" t="inlineStr">
        <is>
          <t>Drawing captured with a release</t>
        </is>
      </c>
      <c r="B27" s="7" t="inlineStr">
        <is>
          <t>Release takeover / drawing refresh</t>
        </is>
      </c>
      <c r="C27" s="7" t="inlineStr">
        <is>
          <t>PER DRAWING</t>
        </is>
      </c>
      <c r="D27" s="8" t="inlineStr">
        <is>
          <t>A15</t>
        </is>
      </c>
      <c r="E27" s="7" t="inlineStr">
        <is>
          <t>GET external data</t>
        </is>
      </c>
      <c r="F27" s="8" t="n">
        <v>1</v>
      </c>
      <c r="G27" s="8" t="n">
        <v>1</v>
      </c>
      <c r="H27" s="7" t="n"/>
      <c r="I27" s="7" t="n"/>
    </row>
    <row r="28">
      <c r="A28" s="7" t="inlineStr">
        <is>
          <t>Show a part thumbnail</t>
        </is>
      </c>
      <c r="B28" s="7" t="inlineStr">
        <is>
          <t>A part tile renders</t>
        </is>
      </c>
      <c r="C28" s="7" t="inlineStr">
        <is>
          <t>PER PART, per open</t>
        </is>
      </c>
      <c r="D28" s="8" t="inlineStr">
        <is>
          <t>A10</t>
        </is>
      </c>
      <c r="E28" s="7" t="inlineStr">
        <is>
          <t>GET shaded view</t>
        </is>
      </c>
      <c r="F28" s="8" t="n">
        <v>1</v>
      </c>
      <c r="G28" s="8" t="n">
        <v>0</v>
      </c>
      <c r="H28" s="7" t="inlineStr">
        <is>
          <t>0–1</t>
        </is>
      </c>
      <c r="I28" s="7" t="inlineStr">
        <is>
          <t>Held 7 days in MongoDB; a failed render is not retried for an hour.</t>
        </is>
      </c>
    </row>
    <row r="29">
      <c r="A29" s="7" t="inlineStr">
        <is>
          <t>Show mass properties</t>
        </is>
      </c>
      <c r="B29" s="7" t="inlineStr">
        <is>
          <t>Part page → Mass properties</t>
        </is>
      </c>
      <c r="C29" s="7" t="inlineStr">
        <is>
          <t>PER PART, per open</t>
        </is>
      </c>
      <c r="D29" s="8" t="inlineStr">
        <is>
          <t>A11</t>
        </is>
      </c>
      <c r="E29" s="7" t="inlineStr">
        <is>
          <t>GET mass properties</t>
        </is>
      </c>
      <c r="F29" s="8" t="n">
        <v>1</v>
      </c>
      <c r="G29" s="8" t="n">
        <v>1</v>
      </c>
      <c r="H29" s="7" t="n"/>
      <c r="I29" s="7" t="inlineStr">
        <is>
          <t>The mass is written into PLM's Mass attribute as a side effect.</t>
        </is>
      </c>
    </row>
    <row r="30">
      <c r="A30" s="7" t="inlineStr">
        <is>
          <t>Export a part — STL / Parasolid</t>
        </is>
      </c>
      <c r="B30" s="7" t="inlineStr">
        <is>
          <t>Part page → Export</t>
        </is>
      </c>
      <c r="C30" s="7" t="inlineStr">
        <is>
          <t>PER PART, per export</t>
        </is>
      </c>
      <c r="D30" s="8" t="inlineStr">
        <is>
          <t>A12</t>
        </is>
      </c>
      <c r="E30" s="7" t="inlineStr">
        <is>
          <t>GET part export</t>
        </is>
      </c>
      <c r="F30" s="8" t="n">
        <v>1</v>
      </c>
      <c r="G30" s="8" t="n">
        <v>1</v>
      </c>
      <c r="H30" s="7" t="n"/>
      <c r="I30" s="7" t="inlineStr">
        <is>
          <t>Streamed straight back; no translation job.</t>
        </is>
      </c>
    </row>
    <row r="31">
      <c r="A31" s="7" t="inlineStr">
        <is>
          <t>Export a part — STEP / IGES / 3MF</t>
        </is>
      </c>
      <c r="B31" s="7" t="inlineStr">
        <is>
          <t>Part page → Export</t>
        </is>
      </c>
      <c r="C31" s="7" t="inlineStr">
        <is>
          <t>PER PART, per export</t>
        </is>
      </c>
      <c r="D31" s="8" t="inlineStr">
        <is>
          <t>A13</t>
        </is>
      </c>
      <c r="E31" s="7" t="inlineStr">
        <is>
          <t>POST translation</t>
        </is>
      </c>
      <c r="F31" s="8" t="n">
        <v>1</v>
      </c>
      <c r="G31" s="8" t="n">
        <v>1</v>
      </c>
      <c r="H31" s="7" t="n"/>
      <c r="I31" s="7" t="n"/>
    </row>
    <row r="32">
      <c r="A32" s="7" t="inlineStr">
        <is>
          <t>Export a part — STEP / IGES / 3MF</t>
        </is>
      </c>
      <c r="B32" s="7" t="inlineStr">
        <is>
          <t>Part page → Export</t>
        </is>
      </c>
      <c r="C32" s="7" t="inlineStr">
        <is>
          <t>PER PART, per export</t>
        </is>
      </c>
      <c r="D32" s="8" t="inlineStr">
        <is>
          <t>A14</t>
        </is>
      </c>
      <c r="E32" s="7" t="inlineStr">
        <is>
          <t>GET translation</t>
        </is>
      </c>
      <c r="F32" s="8" t="n">
        <v>1</v>
      </c>
      <c r="G32" s="8" t="n">
        <v>1</v>
      </c>
      <c r="H32" s="7" t="inlineStr">
        <is>
          <t>1–7</t>
        </is>
      </c>
      <c r="I32" s="7" t="inlineStr">
        <is>
          <t>Same backoff as a drawing render.</t>
        </is>
      </c>
    </row>
    <row r="33">
      <c r="A33" s="7" t="inlineStr">
        <is>
          <t>Export a part — STEP / IGES / 3MF</t>
        </is>
      </c>
      <c r="B33" s="7" t="inlineStr">
        <is>
          <t>Part page → Export</t>
        </is>
      </c>
      <c r="C33" s="7" t="inlineStr">
        <is>
          <t>PER PART, per export</t>
        </is>
      </c>
      <c r="D33" s="8" t="inlineStr">
        <is>
          <t>A15</t>
        </is>
      </c>
      <c r="E33" s="7" t="inlineStr">
        <is>
          <t>GET external data</t>
        </is>
      </c>
      <c r="F33" s="8" t="n">
        <v>1</v>
      </c>
      <c r="G33" s="8" t="n">
        <v>1</v>
      </c>
      <c r="H33" s="7" t="n"/>
      <c r="I33" s="7" t="n"/>
    </row>
    <row r="34">
      <c r="A34" s="7" t="inlineStr">
        <is>
          <t>Delete a part from PLM</t>
        </is>
      </c>
      <c r="B34" s="7" t="inlineStr">
        <is>
          <t>Part page → Delete</t>
        </is>
      </c>
      <c r="C34" s="7" t="inlineStr">
        <is>
          <t>PER PART</t>
        </is>
      </c>
      <c r="D34" s="8" t="inlineStr">
        <is>
          <t>A9</t>
        </is>
      </c>
      <c r="E34" s="7" t="inlineStr">
        <is>
          <t>POST part metadata</t>
        </is>
      </c>
      <c r="F34" s="8" t="n">
        <v>0</v>
      </c>
      <c r="G34" s="8" t="n">
        <v>0</v>
      </c>
      <c r="H34" s="7" t="inlineStr">
        <is>
          <t>0–1</t>
        </is>
      </c>
      <c r="I34" s="7" t="inlineStr">
        <is>
          <t>Clears the PLM number in Onshape, when one was written.</t>
        </is>
      </c>
    </row>
    <row r="35">
      <c r="A35" s="7" t="inlineStr">
        <is>
          <t>Task moved on the board</t>
        </is>
      </c>
      <c r="B35" s="7" t="inlineStr">
        <is>
          <t>Drag a card between columns</t>
        </is>
      </c>
      <c r="C35" s="7" t="inlineStr">
        <is>
          <t>PER TASK</t>
        </is>
      </c>
      <c r="D35" s="8" t="inlineStr">
        <is>
          <t>A29</t>
        </is>
      </c>
      <c r="E35" s="7" t="inlineStr">
        <is>
          <t>GET task</t>
        </is>
      </c>
      <c r="F35" s="8" t="n">
        <v>1</v>
      </c>
      <c r="G35" s="8" t="n">
        <v>1</v>
      </c>
      <c r="H35" s="7" t="n"/>
      <c r="I35" s="7" t="inlineStr">
        <is>
          <t>Read first, so the transition offered is the one the task actually has.</t>
        </is>
      </c>
    </row>
    <row r="36">
      <c r="A36" s="7" t="inlineStr">
        <is>
          <t>Task moved on the board</t>
        </is>
      </c>
      <c r="B36" s="7" t="inlineStr">
        <is>
          <t>Drag a card between columns</t>
        </is>
      </c>
      <c r="C36" s="7" t="inlineStr">
        <is>
          <t>PER TASK</t>
        </is>
      </c>
      <c r="D36" s="8" t="inlineStr">
        <is>
          <t>A30</t>
        </is>
      </c>
      <c r="E36" s="7" t="inlineStr">
        <is>
          <t>POST task transition</t>
        </is>
      </c>
      <c r="F36" s="8" t="n">
        <v>0</v>
      </c>
      <c r="G36" s="8" t="n">
        <v>0</v>
      </c>
      <c r="H36" s="7" t="inlineStr">
        <is>
          <t>0–1</t>
        </is>
      </c>
      <c r="I36" s="7" t="inlineStr">
        <is>
          <t>Resolved / Rejected only. Onshape's task workflow has no in-progress state.</t>
        </is>
      </c>
    </row>
    <row r="37">
      <c r="A37" s="7" t="inlineStr">
        <is>
          <t>Task moved on the board</t>
        </is>
      </c>
      <c r="B37" s="7" t="inlineStr">
        <is>
          <t>Drag a card between columns</t>
        </is>
      </c>
      <c r="C37" s="7" t="inlineStr">
        <is>
          <t>PER TASK</t>
        </is>
      </c>
      <c r="D37" s="8" t="inlineStr">
        <is>
          <t>A31</t>
        </is>
      </c>
      <c r="E37" s="7" t="inlineStr">
        <is>
          <t>POST task</t>
        </is>
      </c>
      <c r="F37" s="8" t="n">
        <v>0</v>
      </c>
      <c r="G37" s="8" t="n">
        <v>0</v>
      </c>
      <c r="H37" s="7" t="inlineStr">
        <is>
          <t>0–1</t>
        </is>
      </c>
      <c r="I37" s="7" t="inlineStr">
        <is>
          <t>In Progress and Open are a write to the 'Task State' PROPERTY, not a transition.</t>
        </is>
      </c>
    </row>
    <row r="38">
      <c r="A38" s="7" t="inlineStr">
        <is>
          <t>Comment on a task from PLM</t>
        </is>
      </c>
      <c r="B38" s="7" t="inlineStr">
        <is>
          <t>Task panel → Comment</t>
        </is>
      </c>
      <c r="C38" s="7" t="inlineStr">
        <is>
          <t>PER COMMENT</t>
        </is>
      </c>
      <c r="D38" s="8" t="inlineStr">
        <is>
          <t>A29</t>
        </is>
      </c>
      <c r="E38" s="7" t="inlineStr">
        <is>
          <t>GET task</t>
        </is>
      </c>
      <c r="F38" s="8" t="n">
        <v>1</v>
      </c>
      <c r="G38" s="8" t="n">
        <v>1</v>
      </c>
      <c r="H38" s="7" t="n"/>
      <c r="I38" s="7" t="inlineStr">
        <is>
          <t>Needed to find the workflow's Comment property id.</t>
        </is>
      </c>
    </row>
    <row r="39">
      <c r="A39" s="7" t="inlineStr">
        <is>
          <t>Comment on a task from PLM</t>
        </is>
      </c>
      <c r="B39" s="7" t="inlineStr">
        <is>
          <t>Task panel → Comment</t>
        </is>
      </c>
      <c r="C39" s="7" t="inlineStr">
        <is>
          <t>PER COMMENT</t>
        </is>
      </c>
      <c r="D39" s="8" t="inlineStr">
        <is>
          <t>A31</t>
        </is>
      </c>
      <c r="E39" s="7" t="inlineStr">
        <is>
          <t>POST task</t>
        </is>
      </c>
      <c r="F39" s="8" t="n">
        <v>1</v>
      </c>
      <c r="G39" s="8" t="n">
        <v>1</v>
      </c>
      <c r="H39" s="7" t="n"/>
      <c r="I39" s="7" t="inlineStr">
        <is>
          <t>A comment IS a property write. There is no comment endpoint for a task.</t>
        </is>
      </c>
    </row>
    <row r="40">
      <c r="A40" s="7" t="inlineStr">
        <is>
          <t>Edit a task in PLM</t>
        </is>
      </c>
      <c r="B40" s="7" t="inlineStr">
        <is>
          <t>Task panel → Save</t>
        </is>
      </c>
      <c r="C40" s="7" t="inlineStr">
        <is>
          <t>PER TASK</t>
        </is>
      </c>
      <c r="D40" s="8" t="inlineStr">
        <is>
          <t>A31</t>
        </is>
      </c>
      <c r="E40" s="7" t="inlineStr">
        <is>
          <t>POST task</t>
        </is>
      </c>
      <c r="F40" s="8" t="n">
        <v>1</v>
      </c>
      <c r="G40" s="8" t="n">
        <v>1</v>
      </c>
      <c r="H40" s="7" t="n"/>
      <c r="I40" s="7" t="n"/>
    </row>
    <row r="41">
      <c r="A41" s="7" t="inlineStr">
        <is>
          <t>Remove a task in Onshape</t>
        </is>
      </c>
      <c r="B41" s="7" t="inlineStr">
        <is>
          <t>Tasks → Remove in Onshape</t>
        </is>
      </c>
      <c r="C41" s="7" t="inlineStr">
        <is>
          <t>PER TASK</t>
        </is>
      </c>
      <c r="D41" s="8" t="inlineStr">
        <is>
          <t>A29</t>
        </is>
      </c>
      <c r="E41" s="7" t="inlineStr">
        <is>
          <t>GET task</t>
        </is>
      </c>
      <c r="F41" s="8" t="n">
        <v>1</v>
      </c>
      <c r="G41" s="8" t="n">
        <v>1</v>
      </c>
      <c r="H41" s="7" t="n"/>
      <c r="I41" s="7" t="inlineStr">
        <is>
          <t>Re-read, so 'deletable' and the discard transition are current rather than stale.</t>
        </is>
      </c>
    </row>
    <row r="42">
      <c r="A42" s="7" t="inlineStr">
        <is>
          <t>Remove a task in Onshape</t>
        </is>
      </c>
      <c r="B42" s="7" t="inlineStr">
        <is>
          <t>Tasks → Remove in Onshape</t>
        </is>
      </c>
      <c r="C42" s="7" t="inlineStr">
        <is>
          <t>PER TASK</t>
        </is>
      </c>
      <c r="D42" s="8" t="inlineStr">
        <is>
          <t>A32</t>
        </is>
      </c>
      <c r="E42" s="7" t="inlineStr">
        <is>
          <t>DELETE task</t>
        </is>
      </c>
      <c r="F42" s="8" t="n">
        <v>0</v>
      </c>
      <c r="G42" s="8" t="n">
        <v>0</v>
      </c>
      <c r="H42" s="7" t="inlineStr">
        <is>
          <t>0–1</t>
        </is>
      </c>
      <c r="I42" s="7" t="inlineStr">
        <is>
          <t>Only where Onshape reports the task deletable — rare; 0 of 18 on a live tenant.</t>
        </is>
      </c>
    </row>
    <row r="43">
      <c r="A43" s="7" t="inlineStr">
        <is>
          <t>Remove a task in Onshape</t>
        </is>
      </c>
      <c r="B43" s="7" t="inlineStr">
        <is>
          <t>Tasks → Remove in Onshape</t>
        </is>
      </c>
      <c r="C43" s="7" t="inlineStr">
        <is>
          <t>PER TASK</t>
        </is>
      </c>
      <c r="D43" s="8" t="inlineStr">
        <is>
          <t>A30</t>
        </is>
      </c>
      <c r="E43" s="7" t="inlineStr">
        <is>
          <t>POST task transition</t>
        </is>
      </c>
      <c r="F43" s="8" t="n">
        <v>0</v>
      </c>
      <c r="G43" s="8" t="n">
        <v>0</v>
      </c>
      <c r="H43" s="7" t="inlineStr">
        <is>
          <t>0–1</t>
        </is>
      </c>
      <c r="I43" s="7" t="inlineStr">
        <is>
          <t>The fallback that actually works: the workflow's own discard (OS_DISCARD).</t>
        </is>
      </c>
    </row>
    <row r="44">
      <c r="A44" s="5" t="inlineStr">
        <is>
          <t>Connect Onshape account</t>
        </is>
      </c>
      <c r="B44" s="5" t="inlineStr">
        <is>
          <t>Settings → Connect Onshape</t>
        </is>
      </c>
      <c r="C44" s="5" t="inlineStr">
        <is>
          <t>Per user (one-off)</t>
        </is>
      </c>
      <c r="D44" s="4" t="inlineStr">
        <is>
          <t>A1</t>
        </is>
      </c>
      <c r="E44" s="5" t="inlineStr">
        <is>
          <t>GET session info</t>
        </is>
      </c>
      <c r="F44" s="4" t="n">
        <v>1</v>
      </c>
      <c r="G44" s="4" t="n">
        <v>1</v>
      </c>
      <c r="H44" s="5" t="n"/>
      <c r="I44" s="5" t="inlineStr">
        <is>
          <t>Also captures the enterprise vanity domain used for links back into Onshape.</t>
        </is>
      </c>
    </row>
    <row r="45">
      <c r="A45" s="5" t="inlineStr">
        <is>
          <t>Property discovery</t>
        </is>
      </c>
      <c r="B45" s="5" t="inlineStr">
        <is>
          <t>Settings → Run discovery</t>
        </is>
      </c>
      <c r="C45" s="5" t="inlineStr">
        <is>
          <t>Per enterprise (on demand)</t>
        </is>
      </c>
      <c r="D45" s="4" t="inlineStr">
        <is>
          <t>A8</t>
        </is>
      </c>
      <c r="E45" s="5" t="inlineStr">
        <is>
          <t>GET part metadata</t>
        </is>
      </c>
      <c r="F45" s="4" t="n">
        <v>1</v>
      </c>
      <c r="G45" s="4" t="n">
        <v>1</v>
      </c>
      <c r="H45" s="5" t="inlineStr">
        <is>
          <t>0 if no sample part</t>
        </is>
      </c>
      <c r="I45" s="5" t="inlineStr">
        <is>
          <t>Samples one part to learn the shape of the tenant's properties.</t>
        </is>
      </c>
    </row>
    <row r="46">
      <c r="A46" s="5" t="inlineStr">
        <is>
          <t>Property discovery</t>
        </is>
      </c>
      <c r="B46" s="5" t="inlineStr">
        <is>
          <t>Settings → Run discovery</t>
        </is>
      </c>
      <c r="C46" s="5" t="inlineStr">
        <is>
          <t>Per enterprise (on demand)</t>
        </is>
      </c>
      <c r="D46" s="4" t="inlineStr">
        <is>
          <t>A4</t>
        </is>
      </c>
      <c r="E46" s="5" t="inlineStr">
        <is>
          <t>GET document</t>
        </is>
      </c>
      <c r="F46" s="4" t="n">
        <v>1</v>
      </c>
      <c r="G46" s="4" t="n">
        <v>0</v>
      </c>
      <c r="H46" s="5" t="n"/>
      <c r="I46" s="5" t="inlineStr">
        <is>
          <t>Inside getPartMetadata, to fill in the names.</t>
        </is>
      </c>
    </row>
    <row r="47">
      <c r="A47" s="5" t="inlineStr">
        <is>
          <t>Property discovery</t>
        </is>
      </c>
      <c r="B47" s="5" t="inlineStr">
        <is>
          <t>Settings → Run discovery</t>
        </is>
      </c>
      <c r="C47" s="5" t="inlineStr">
        <is>
          <t>Per enterprise (on demand)</t>
        </is>
      </c>
      <c r="D47" s="4" t="inlineStr">
        <is>
          <t>A3</t>
        </is>
      </c>
      <c r="E47" s="5" t="inlineStr">
        <is>
          <t>GET element</t>
        </is>
      </c>
      <c r="F47" s="4" t="n">
        <v>1</v>
      </c>
      <c r="G47" s="4" t="n">
        <v>0</v>
      </c>
      <c r="H47" s="5" t="n"/>
      <c r="I47" s="5" t="inlineStr">
        <is>
          <t>Inside getPartMetadata, to fill in the names.</t>
        </is>
      </c>
    </row>
    <row r="48">
      <c r="A48" s="5" t="inlineStr">
        <is>
          <t>Property discovery</t>
        </is>
      </c>
      <c r="B48" s="5" t="inlineStr">
        <is>
          <t>Settings → Run discovery</t>
        </is>
      </c>
      <c r="C48" s="5" t="inlineStr">
        <is>
          <t>Per enterprise (on demand)</t>
        </is>
      </c>
      <c r="D48" s="4" t="inlineStr">
        <is>
          <t>A2</t>
        </is>
      </c>
      <c r="E48" s="5" t="inlineStr">
        <is>
          <t>GET metadata schema</t>
        </is>
      </c>
      <c r="F48" s="4" t="n">
        <v>1</v>
      </c>
      <c r="G48" s="4" t="n">
        <v>1</v>
      </c>
      <c r="H48" s="5" t="n"/>
      <c r="I48" s="5" t="inlineStr">
        <is>
          <t>The company-level definition list, merged with what the sample showed.</t>
        </is>
      </c>
    </row>
    <row r="49">
      <c r="A49" s="5" t="inlineStr">
        <is>
          <t>Register webhook</t>
        </is>
      </c>
      <c r="B49" s="5" t="inlineStr">
        <is>
          <t>Settings → Register webhook</t>
        </is>
      </c>
      <c r="C49" s="5" t="inlineStr">
        <is>
          <t>Per enterprise (one-off)</t>
        </is>
      </c>
      <c r="D49" s="4" t="inlineStr">
        <is>
          <t>A18</t>
        </is>
      </c>
      <c r="E49" s="5" t="inlineStr">
        <is>
          <t>GET webhooks</t>
        </is>
      </c>
      <c r="F49" s="4" t="n">
        <v>1</v>
      </c>
      <c r="G49" s="4" t="n">
        <v>1</v>
      </c>
      <c r="H49" s="5" t="n"/>
      <c r="I49" s="5" t="inlineStr">
        <is>
          <t>Lists what Onshape already holds for this company.</t>
        </is>
      </c>
    </row>
    <row r="50">
      <c r="A50" s="5" t="inlineStr">
        <is>
          <t>Register webhook</t>
        </is>
      </c>
      <c r="B50" s="5" t="inlineStr">
        <is>
          <t>Settings → Register webhook</t>
        </is>
      </c>
      <c r="C50" s="5" t="inlineStr">
        <is>
          <t>Per enterprise (one-off)</t>
        </is>
      </c>
      <c r="D50" s="4" t="inlineStr">
        <is>
          <t>A19</t>
        </is>
      </c>
      <c r="E50" s="5" t="inlineStr">
        <is>
          <t>DELETE webhook</t>
        </is>
      </c>
      <c r="F50" s="4" t="n">
        <v>0</v>
      </c>
      <c r="G50" s="4" t="n">
        <v>0</v>
      </c>
      <c r="H50" s="5" t="inlineStr">
        <is>
          <t>0–N</t>
        </is>
      </c>
      <c r="I50" s="5" t="inlineStr">
        <is>
          <t>One per orphaned subscription found.</t>
        </is>
      </c>
    </row>
    <row r="51">
      <c r="A51" s="5" t="inlineStr">
        <is>
          <t>Register webhook</t>
        </is>
      </c>
      <c r="B51" s="5" t="inlineStr">
        <is>
          <t>Settings → Register webhook</t>
        </is>
      </c>
      <c r="C51" s="5" t="inlineStr">
        <is>
          <t>Per enterprise (one-off)</t>
        </is>
      </c>
      <c r="D51" s="4" t="inlineStr">
        <is>
          <t>A17</t>
        </is>
      </c>
      <c r="E51" s="5" t="inlineStr">
        <is>
          <t>POST webhook</t>
        </is>
      </c>
      <c r="F51" s="4" t="n">
        <v>1</v>
      </c>
      <c r="G51" s="4" t="n">
        <v>1</v>
      </c>
      <c r="H51" s="5" t="n"/>
      <c r="I51" s="5" t="n"/>
    </row>
    <row r="52">
      <c r="A52" s="5" t="inlineStr">
        <is>
          <t>Import from Assembly — setup</t>
        </is>
      </c>
      <c r="B52" s="5" t="inlineStr">
        <is>
          <t>Import → paste an assembly link</t>
        </is>
      </c>
      <c r="C52" s="5" t="inlineStr">
        <is>
          <t>Per assembly</t>
        </is>
      </c>
      <c r="D52" s="4" t="inlineStr">
        <is>
          <t>A4</t>
        </is>
      </c>
      <c r="E52" s="5" t="inlineStr">
        <is>
          <t>GET document</t>
        </is>
      </c>
      <c r="F52" s="4" t="n">
        <v>1</v>
      </c>
      <c r="G52" s="4" t="n">
        <v>0</v>
      </c>
      <c r="H52" s="5" t="n"/>
      <c r="I52" s="5" t="n"/>
    </row>
    <row r="53">
      <c r="A53" s="5" t="inlineStr">
        <is>
          <t>Import from Assembly — setup</t>
        </is>
      </c>
      <c r="B53" s="5" t="inlineStr">
        <is>
          <t>Import → paste an assembly link</t>
        </is>
      </c>
      <c r="C53" s="5" t="inlineStr">
        <is>
          <t>Per assembly</t>
        </is>
      </c>
      <c r="D53" s="4" t="inlineStr">
        <is>
          <t>A3</t>
        </is>
      </c>
      <c r="E53" s="5" t="inlineStr">
        <is>
          <t>GET element</t>
        </is>
      </c>
      <c r="F53" s="4" t="n">
        <v>1</v>
      </c>
      <c r="G53" s="4" t="n">
        <v>0</v>
      </c>
      <c r="H53" s="5" t="n"/>
      <c r="I53" s="5" t="inlineStr">
        <is>
          <t>Refuses a Part Studio with a message naming the tab that was selected.</t>
        </is>
      </c>
    </row>
    <row r="54">
      <c r="A54" s="5" t="inlineStr">
        <is>
          <t>Import from Assembly — setup</t>
        </is>
      </c>
      <c r="B54" s="5" t="inlineStr">
        <is>
          <t>Import → paste an assembly link</t>
        </is>
      </c>
      <c r="C54" s="5" t="inlineStr">
        <is>
          <t>Per assembly</t>
        </is>
      </c>
      <c r="D54" s="4" t="inlineStr">
        <is>
          <t>A7</t>
        </is>
      </c>
      <c r="E54" s="5" t="inlineStr">
        <is>
          <t>GET assembly BOM</t>
        </is>
      </c>
      <c r="F54" s="4" t="n">
        <v>1</v>
      </c>
      <c r="G54" s="4" t="n">
        <v>1</v>
      </c>
      <c r="H54" s="5" t="n"/>
      <c r="I54" s="5" t="inlineStr">
        <is>
          <t>ONE call for the whole tree. Indent level carries the hierarchy, so subassemblies cost nothing extra.</t>
        </is>
      </c>
    </row>
    <row r="55">
      <c r="A55" s="5" t="inlineStr">
        <is>
          <t>Release raised in Onshape</t>
        </is>
      </c>
      <c r="B55" s="5" t="inlineStr">
        <is>
          <t>Onshape release webhook → takeover</t>
        </is>
      </c>
      <c r="C55" s="5" t="inlineStr">
        <is>
          <t>Per release</t>
        </is>
      </c>
      <c r="D55" s="4" t="inlineStr">
        <is>
          <t>A22</t>
        </is>
      </c>
      <c r="E55" s="5" t="inlineStr">
        <is>
          <t>GET release package</t>
        </is>
      </c>
      <c r="F55" s="4" t="n">
        <v>1</v>
      </c>
      <c r="G55" s="4" t="n">
        <v>1</v>
      </c>
      <c r="H55" s="5" t="n"/>
      <c r="I55" s="5" t="inlineStr">
        <is>
          <t>Items, properties and the workflow actions on offer.</t>
        </is>
      </c>
    </row>
    <row r="56">
      <c r="A56" s="5" t="inlineStr">
        <is>
          <t>Release raised in Onshape</t>
        </is>
      </c>
      <c r="B56" s="5" t="inlineStr">
        <is>
          <t>Onshape release webhook → takeover</t>
        </is>
      </c>
      <c r="C56" s="5" t="inlineStr">
        <is>
          <t>Per release</t>
        </is>
      </c>
      <c r="D56" s="4" t="inlineStr">
        <is>
          <t>A4</t>
        </is>
      </c>
      <c r="E56" s="5" t="inlineStr">
        <is>
          <t>GET document</t>
        </is>
      </c>
      <c r="F56" s="4" t="n">
        <v>1</v>
      </c>
      <c r="G56" s="4" t="n">
        <v>0</v>
      </c>
      <c r="H56" s="5" t="n"/>
      <c r="I56" s="5" t="n"/>
    </row>
    <row r="57">
      <c r="A57" s="5" t="inlineStr">
        <is>
          <t>Release decided in PLM</t>
        </is>
      </c>
      <c r="B57" s="5" t="inlineStr">
        <is>
          <t>Release page → Approve or Reject</t>
        </is>
      </c>
      <c r="C57" s="5" t="inlineStr">
        <is>
          <t>Per release</t>
        </is>
      </c>
      <c r="D57" s="4" t="inlineStr">
        <is>
          <t>A22</t>
        </is>
      </c>
      <c r="E57" s="5" t="inlineStr">
        <is>
          <t>GET release package</t>
        </is>
      </c>
      <c r="F57" s="4" t="n">
        <v>1</v>
      </c>
      <c r="G57" s="4" t="n">
        <v>1</v>
      </c>
      <c r="H57" s="5" t="n"/>
      <c r="I57" s="5" t="inlineStr">
        <is>
          <t>Re-read before deciding, so the action sent is one the package still offers.</t>
        </is>
      </c>
    </row>
    <row r="58">
      <c r="A58" s="5" t="inlineStr">
        <is>
          <t>Release decided in PLM</t>
        </is>
      </c>
      <c r="B58" s="5" t="inlineStr">
        <is>
          <t>Release page → Approve or Reject</t>
        </is>
      </c>
      <c r="C58" s="5" t="inlineStr">
        <is>
          <t>Per release</t>
        </is>
      </c>
      <c r="D58" s="4" t="inlineStr">
        <is>
          <t>A23</t>
        </is>
      </c>
      <c r="E58" s="5" t="inlineStr">
        <is>
          <t>POST release transition</t>
        </is>
      </c>
      <c r="F58" s="4" t="n">
        <v>1</v>
      </c>
      <c r="G58" s="4" t="n">
        <v>1</v>
      </c>
      <c r="H58" s="5" t="n"/>
      <c r="I58" s="5" t="inlineStr">
        <is>
          <t>wfaction is a QUERY parameter; sending it in the body earns a 200 and no effect.</t>
        </is>
      </c>
    </row>
    <row r="59">
      <c r="A59" s="5" t="inlineStr">
        <is>
          <t>Release decided in PLM</t>
        </is>
      </c>
      <c r="B59" s="5" t="inlineStr">
        <is>
          <t>Release page → Approve or Reject</t>
        </is>
      </c>
      <c r="C59" s="5" t="inlineStr">
        <is>
          <t>Per release</t>
        </is>
      </c>
      <c r="D59" s="4" t="inlineStr">
        <is>
          <t>A22</t>
        </is>
      </c>
      <c r="E59" s="5" t="inlineStr">
        <is>
          <t>GET release package (poll)</t>
        </is>
      </c>
      <c r="F59" s="4" t="n">
        <v>1</v>
      </c>
      <c r="G59" s="4" t="n">
        <v>1</v>
      </c>
      <c r="H59" s="5" t="inlineStr">
        <is>
          <t>1–7</t>
        </is>
      </c>
      <c r="I59" s="5" t="inlineStr">
        <is>
          <t>Polled ~12s total (400/800/1500/2500/3000/3000ms). The webhook covers the slow case.</t>
        </is>
      </c>
    </row>
    <row r="60">
      <c r="A60" s="5" t="inlineStr">
        <is>
          <t>Release raised from PLM</t>
        </is>
      </c>
      <c r="B60" s="5" t="inlineStr">
        <is>
          <t>Releases → New release</t>
        </is>
      </c>
      <c r="C60" s="5" t="inlineStr">
        <is>
          <t>Per release</t>
        </is>
      </c>
      <c r="D60" s="4" t="inlineStr">
        <is>
          <t>A20</t>
        </is>
      </c>
      <c r="E60" s="5" t="inlineStr">
        <is>
          <t>GET company policies</t>
        </is>
      </c>
      <c r="F60" s="4" t="n">
        <v>1</v>
      </c>
      <c r="G60" s="4" t="n">
        <v>0</v>
      </c>
      <c r="H60" s="5" t="n"/>
      <c r="I60" s="5" t="inlineStr">
        <is>
          <t>Finds the workflow id.</t>
        </is>
      </c>
    </row>
    <row r="61">
      <c r="A61" s="5" t="inlineStr">
        <is>
          <t>Release raised from PLM</t>
        </is>
      </c>
      <c r="B61" s="5" t="inlineStr">
        <is>
          <t>Releases → New release</t>
        </is>
      </c>
      <c r="C61" s="5" t="inlineStr">
        <is>
          <t>Per release</t>
        </is>
      </c>
      <c r="D61" s="4" t="inlineStr">
        <is>
          <t>A21</t>
        </is>
      </c>
      <c r="E61" s="5" t="inlineStr">
        <is>
          <t>GET active workflow</t>
        </is>
      </c>
      <c r="F61" s="4" t="n">
        <v>0</v>
      </c>
      <c r="G61" s="4" t="n">
        <v>0</v>
      </c>
      <c r="H61" s="5" t="inlineStr">
        <is>
          <t>0–1</t>
        </is>
      </c>
      <c r="I61" s="5" t="inlineStr">
        <is>
          <t>Fallback when the policy document names no workflow.</t>
        </is>
      </c>
    </row>
    <row r="62">
      <c r="A62" s="5" t="inlineStr">
        <is>
          <t>Release raised from PLM</t>
        </is>
      </c>
      <c r="B62" s="5" t="inlineStr">
        <is>
          <t>Releases → New release</t>
        </is>
      </c>
      <c r="C62" s="5" t="inlineStr">
        <is>
          <t>Per release</t>
        </is>
      </c>
      <c r="D62" s="4" t="inlineStr">
        <is>
          <t>A26</t>
        </is>
      </c>
      <c r="E62" s="5" t="inlineStr">
        <is>
          <t>GET elements</t>
        </is>
      </c>
      <c r="F62" s="4" t="n">
        <v>1</v>
      </c>
      <c r="G62" s="4" t="n">
        <v>1</v>
      </c>
      <c r="H62" s="5" t="n"/>
      <c r="I62" s="5" t="inlineStr">
        <is>
          <t>Finds the drawings that belong with the parts being released.</t>
        </is>
      </c>
    </row>
    <row r="63">
      <c r="A63" s="5" t="inlineStr">
        <is>
          <t>Release raised from PLM</t>
        </is>
      </c>
      <c r="B63" s="5" t="inlineStr">
        <is>
          <t>Releases → New release</t>
        </is>
      </c>
      <c r="C63" s="5" t="inlineStr">
        <is>
          <t>Per release</t>
        </is>
      </c>
      <c r="D63" s="4" t="inlineStr">
        <is>
          <t>A24</t>
        </is>
      </c>
      <c r="E63" s="5" t="inlineStr">
        <is>
          <t>POST release package</t>
        </is>
      </c>
      <c r="F63" s="4" t="n">
        <v>1</v>
      </c>
      <c r="G63" s="4" t="n">
        <v>1</v>
      </c>
      <c r="H63" s="5" t="n"/>
      <c r="I63" s="5" t="n"/>
    </row>
    <row r="64">
      <c r="A64" s="5" t="inlineStr">
        <is>
          <t>Drawing refresh after release</t>
        </is>
      </c>
      <c r="B64" s="5" t="inlineStr">
        <is>
          <t>Scheduled retry after a release lands</t>
        </is>
      </c>
      <c r="C64" s="5" t="inlineStr">
        <is>
          <t>Per release, per attempt</t>
        </is>
      </c>
      <c r="D64" s="4" t="inlineStr">
        <is>
          <t>A22</t>
        </is>
      </c>
      <c r="E64" s="5" t="inlineStr">
        <is>
          <t>GET release package</t>
        </is>
      </c>
      <c r="F64" s="4" t="n">
        <v>1</v>
      </c>
      <c r="G64" s="4" t="n">
        <v>1</v>
      </c>
      <c r="H64" s="5" t="inlineStr">
        <is>
          <t>1–6</t>
        </is>
      </c>
      <c r="I64" s="5" t="inlineStr">
        <is>
          <t>Retried on a 15s/45s/2m/5m/10m schedule while Onshape finishes translating the sheets.</t>
        </is>
      </c>
    </row>
    <row r="65">
      <c r="A65" s="5" t="inlineStr">
        <is>
          <t>Task sync from Onshape</t>
        </is>
      </c>
      <c r="B65" s="5" t="inlineStr">
        <is>
          <t>Tasks → Sync, or a task webhook</t>
        </is>
      </c>
      <c r="C65" s="5" t="inlineStr">
        <is>
          <t>Per enterprise (per sync)</t>
        </is>
      </c>
      <c r="D65" s="4" t="inlineStr">
        <is>
          <t>A27</t>
        </is>
      </c>
      <c r="E65" s="5" t="inlineStr">
        <is>
          <t>GET tasks</t>
        </is>
      </c>
      <c r="F65" s="4" t="n">
        <v>1</v>
      </c>
      <c r="G65" s="4" t="n">
        <v>1</v>
      </c>
      <c r="H65" s="5" t="inlineStr">
        <is>
          <t>1–30</t>
        </is>
      </c>
      <c r="I65" s="5" t="inlineStr">
        <is>
          <t>Paged at 100 — the cap Onshape enforces. Only the caller's own tasks.</t>
        </is>
      </c>
    </row>
    <row r="66">
      <c r="A66" s="5" t="inlineStr">
        <is>
          <t>Task sync from Onshape</t>
        </is>
      </c>
      <c r="B66" s="5" t="inlineStr">
        <is>
          <t>Tasks → Sync, or a task webhook</t>
        </is>
      </c>
      <c r="C66" s="5" t="inlineStr">
        <is>
          <t>Per enterprise (per sync)</t>
        </is>
      </c>
      <c r="D66" s="4" t="inlineStr">
        <is>
          <t>A28</t>
        </is>
      </c>
      <c r="E66" s="5" t="inlineStr">
        <is>
          <t>POST task search</t>
        </is>
      </c>
      <c r="F66" s="4" t="n">
        <v>1</v>
      </c>
      <c r="G66" s="4" t="n">
        <v>1</v>
      </c>
      <c r="H66" s="5" t="inlineStr">
        <is>
          <t>1–30</t>
        </is>
      </c>
      <c r="I66" s="5" t="inlineStr">
        <is>
          <t>The wider view: 8 tasks vs 174 on a live tenant. Paging is in the body, not the query.</t>
        </is>
      </c>
    </row>
    <row r="67">
      <c r="A67" s="5" t="inlineStr">
        <is>
          <t>Task sync from Onshape</t>
        </is>
      </c>
      <c r="B67" s="5" t="inlineStr">
        <is>
          <t>Tasks → Sync, or a task webhook</t>
        </is>
      </c>
      <c r="C67" s="5" t="inlineStr">
        <is>
          <t>Per enterprise (per sync)</t>
        </is>
      </c>
      <c r="D67" s="4" t="inlineStr">
        <is>
          <t>A29</t>
        </is>
      </c>
      <c r="E67" s="5" t="inlineStr">
        <is>
          <t>GET task</t>
        </is>
      </c>
      <c r="F67" s="4" t="n">
        <v>1</v>
      </c>
      <c r="G67" s="4" t="n">
        <v>1</v>
      </c>
      <c r="H67" s="5" t="inlineStr">
        <is>
          <t>1 per task</t>
        </is>
      </c>
      <c r="I67" s="5" t="inlineStr">
        <is>
          <t>One per task. Neither list carries a workflow snapshot, so a board built from them would offer transitions the task does not have.</t>
        </is>
      </c>
    </row>
    <row r="68">
      <c r="A68" s="5" t="inlineStr">
        <is>
          <t>View a product BOM</t>
        </is>
      </c>
      <c r="B68" s="5" t="inlineStr">
        <is>
          <t>BOM page → choose a product</t>
        </is>
      </c>
      <c r="C68" s="5" t="inlineStr">
        <is>
          <t>Per view</t>
        </is>
      </c>
      <c r="D68" s="4" t="inlineStr">
        <is>
          <t>—</t>
        </is>
      </c>
      <c r="E68" s="5" t="inlineStr">
        <is>
          <t>(none)</t>
        </is>
      </c>
      <c r="F68" s="4" t="n">
        <v>0</v>
      </c>
      <c r="G68" s="4" t="n">
        <v>0</v>
      </c>
      <c r="H68" s="5" t="n"/>
      <c r="I68" s="5" t="inlineStr">
        <is>
          <t>Served entirely from PLM's own structure. No Onshape call at any depth.</t>
        </is>
      </c>
    </row>
    <row r="69">
      <c r="A69" s="5" t="inlineStr">
        <is>
          <t>Tasks shown against a part</t>
        </is>
      </c>
      <c r="B69" s="5" t="inlineStr">
        <is>
          <t>Part page, BOM panel or Onshape panel</t>
        </is>
      </c>
      <c r="C69" s="5" t="inlineStr">
        <is>
          <t>Per view</t>
        </is>
      </c>
      <c r="D69" s="4" t="inlineStr">
        <is>
          <t>—</t>
        </is>
      </c>
      <c r="E69" s="5" t="inlineStr">
        <is>
          <t>(none)</t>
        </is>
      </c>
      <c r="F69" s="4" t="n">
        <v>0</v>
      </c>
      <c r="G69" s="4" t="n">
        <v>0</v>
      </c>
      <c r="H69" s="5" t="n"/>
      <c r="I69" s="5" t="inlineStr">
        <is>
          <t>Answered from PLM's mirror — the links were resolved when the task was synced.</t>
        </is>
      </c>
    </row>
    <row r="70">
      <c r="A70" s="5" t="inlineStr">
        <is>
          <t>Dashboard, search and reports</t>
        </is>
      </c>
      <c r="B70" s="5" t="inlineStr">
        <is>
          <t>Dashboard, product filter, CSV export</t>
        </is>
      </c>
      <c r="C70" s="5" t="inlineStr">
        <is>
          <t>Per view</t>
        </is>
      </c>
      <c r="D70" s="4" t="inlineStr">
        <is>
          <t>—</t>
        </is>
      </c>
      <c r="E70" s="5" t="inlineStr">
        <is>
          <t>(none)</t>
        </is>
      </c>
      <c r="F70" s="4" t="n">
        <v>0</v>
      </c>
      <c r="G70" s="4" t="n">
        <v>0</v>
      </c>
      <c r="H70" s="5" t="n"/>
      <c r="I70" s="5" t="inlineStr">
        <is>
          <t>PLM data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0" customWidth="1" min="3" max="3"/>
    <col width="20" customWidth="1" min="4" max="4"/>
    <col width="60" customWidth="1" min="5" max="5"/>
  </cols>
  <sheetData>
    <row r="1">
      <c r="A1" s="1" t="inlineStr">
        <is>
          <t>Total Onshape calls per process</t>
        </is>
      </c>
    </row>
    <row r="2">
      <c r="A2" s="2" t="inlineStr">
        <is>
          <t>Totals are summed live from the 'Calls per Process' sheet — edit a count there and these update. Per-unit processes are listed first. (Figures compute when Excel opens the file.)</t>
        </is>
      </c>
    </row>
    <row r="4" ht="30" customHeight="1">
      <c r="A4" s="3" t="inlineStr">
        <is>
          <t>Business process</t>
        </is>
      </c>
      <c r="B4" s="3" t="inlineStr">
        <is>
          <t>Scope</t>
        </is>
      </c>
      <c r="C4" s="3" t="inlineStr">
        <is>
          <t>Calls — cold cache</t>
        </is>
      </c>
      <c r="D4" s="3" t="inlineStr">
        <is>
          <t>Calls — warm cache</t>
        </is>
      </c>
    </row>
    <row r="5">
      <c r="A5" s="9" t="inlineStr">
        <is>
          <t>Per-unit processes (the ones that scale with your data)</t>
        </is>
      </c>
      <c r="B5" s="10" t="n"/>
      <c r="C5" s="10" t="n"/>
      <c r="D5" s="10" t="n"/>
    </row>
    <row r="6">
      <c r="A6" s="5" t="inlineStr">
        <is>
          <t>Open the PLM panel</t>
        </is>
      </c>
      <c r="B6" s="5" t="inlineStr">
        <is>
          <t>PER PART, per open</t>
        </is>
      </c>
      <c r="C6" s="11">
        <f>SUMIFS('Calls per Process'!$F$5:$F$70,'Calls per Process'!$A$5:$A$70,$A6)</f>
        <v/>
      </c>
      <c r="D6" s="11">
        <f>SUMIFS('Calls per Process'!$G$5:$G$70,'Calls per Process'!$A$5:$A$70,$A6)</f>
        <v/>
      </c>
    </row>
    <row r="7">
      <c r="A7" s="5" t="inlineStr">
        <is>
          <t>Enrol a part (Sync to PLM)</t>
        </is>
      </c>
      <c r="B7" s="5" t="inlineStr">
        <is>
          <t>PER PART</t>
        </is>
      </c>
      <c r="C7" s="11">
        <f>SUMIFS('Calls per Process'!$F$5:$F$70,'Calls per Process'!$A$5:$A$70,$A7)</f>
        <v/>
      </c>
      <c r="D7" s="11">
        <f>SUMIFS('Calls per Process'!$G$5:$G$70,'Calls per Process'!$A$5:$A$70,$A7)</f>
        <v/>
      </c>
    </row>
    <row r="8">
      <c r="A8" s="5" t="inlineStr">
        <is>
          <t>Part changed in Onshape</t>
        </is>
      </c>
      <c r="B8" s="5" t="inlineStr">
        <is>
          <t>PER PART</t>
        </is>
      </c>
      <c r="C8" s="11">
        <f>SUMIFS('Calls per Process'!$F$5:$F$70,'Calls per Process'!$A$5:$A$70,$A8)</f>
        <v/>
      </c>
      <c r="D8" s="11">
        <f>SUMIFS('Calls per Process'!$G$5:$G$70,'Calls per Process'!$A$5:$A$70,$A8)</f>
        <v/>
      </c>
    </row>
    <row r="9">
      <c r="A9" s="5" t="inlineStr">
        <is>
          <t>Push PLM fields to Onshape</t>
        </is>
      </c>
      <c r="B9" s="5" t="inlineStr">
        <is>
          <t>PER PART</t>
        </is>
      </c>
      <c r="C9" s="11">
        <f>SUMIFS('Calls per Process'!$F$5:$F$70,'Calls per Process'!$A$5:$A$70,$A9)</f>
        <v/>
      </c>
      <c r="D9" s="11">
        <f>SUMIFS('Calls per Process'!$G$5:$G$70,'Calls per Process'!$A$5:$A$70,$A9)</f>
        <v/>
      </c>
    </row>
    <row r="10">
      <c r="A10" s="5" t="inlineStr">
        <is>
          <t>Import from Assembly — each row</t>
        </is>
      </c>
      <c r="B10" s="5" t="inlineStr">
        <is>
          <t>PER PART</t>
        </is>
      </c>
      <c r="C10" s="11">
        <f>SUMIFS('Calls per Process'!$F$5:$F$70,'Calls per Process'!$A$5:$A$70,$A10)</f>
        <v/>
      </c>
      <c r="D10" s="11">
        <f>SUMIFS('Calls per Process'!$G$5:$G$70,'Calls per Process'!$A$5:$A$70,$A10)</f>
        <v/>
      </c>
    </row>
    <row r="11">
      <c r="A11" s="5" t="inlineStr">
        <is>
          <t>Re-sync all from Onshape</t>
        </is>
      </c>
      <c r="B11" s="5" t="inlineStr">
        <is>
          <t>PER PART</t>
        </is>
      </c>
      <c r="C11" s="11">
        <f>SUMIFS('Calls per Process'!$F$5:$F$70,'Calls per Process'!$A$5:$A$70,$A11)</f>
        <v/>
      </c>
      <c r="D11" s="11">
        <f>SUMIFS('Calls per Process'!$G$5:$G$70,'Calls per Process'!$A$5:$A$70,$A11)</f>
        <v/>
      </c>
    </row>
    <row r="12">
      <c r="A12" s="5" t="inlineStr">
        <is>
          <t>Part released (revision)</t>
        </is>
      </c>
      <c r="B12" s="5" t="inlineStr">
        <is>
          <t>PER PART</t>
        </is>
      </c>
      <c r="C12" s="11">
        <f>SUMIFS('Calls per Process'!$F$5:$F$70,'Calls per Process'!$A$5:$A$70,$A12)</f>
        <v/>
      </c>
      <c r="D12" s="11">
        <f>SUMIFS('Calls per Process'!$G$5:$G$70,'Calls per Process'!$A$5:$A$70,$A12)</f>
        <v/>
      </c>
    </row>
    <row r="13">
      <c r="A13" s="5" t="inlineStr">
        <is>
          <t>Drawing captured with a release</t>
        </is>
      </c>
      <c r="B13" s="5" t="inlineStr">
        <is>
          <t>PER DRAWING</t>
        </is>
      </c>
      <c r="C13" s="11">
        <f>SUMIFS('Calls per Process'!$F$5:$F$70,'Calls per Process'!$A$5:$A$70,$A13)</f>
        <v/>
      </c>
      <c r="D13" s="11">
        <f>SUMIFS('Calls per Process'!$G$5:$G$70,'Calls per Process'!$A$5:$A$70,$A13)</f>
        <v/>
      </c>
    </row>
    <row r="14">
      <c r="A14" s="5" t="inlineStr">
        <is>
          <t>Show a part thumbnail</t>
        </is>
      </c>
      <c r="B14" s="5" t="inlineStr">
        <is>
          <t>PER PART, per open</t>
        </is>
      </c>
      <c r="C14" s="11">
        <f>SUMIFS('Calls per Process'!$F$5:$F$70,'Calls per Process'!$A$5:$A$70,$A14)</f>
        <v/>
      </c>
      <c r="D14" s="11">
        <f>SUMIFS('Calls per Process'!$G$5:$G$70,'Calls per Process'!$A$5:$A$70,$A14)</f>
        <v/>
      </c>
    </row>
    <row r="15">
      <c r="A15" s="5" t="inlineStr">
        <is>
          <t>Show mass properties</t>
        </is>
      </c>
      <c r="B15" s="5" t="inlineStr">
        <is>
          <t>PER PART, per open</t>
        </is>
      </c>
      <c r="C15" s="11">
        <f>SUMIFS('Calls per Process'!$F$5:$F$70,'Calls per Process'!$A$5:$A$70,$A15)</f>
        <v/>
      </c>
      <c r="D15" s="11">
        <f>SUMIFS('Calls per Process'!$G$5:$G$70,'Calls per Process'!$A$5:$A$70,$A15)</f>
        <v/>
      </c>
    </row>
    <row r="16">
      <c r="A16" s="5" t="inlineStr">
        <is>
          <t>Export a part — STL / Parasolid</t>
        </is>
      </c>
      <c r="B16" s="5" t="inlineStr">
        <is>
          <t>PER PART, per export</t>
        </is>
      </c>
      <c r="C16" s="11">
        <f>SUMIFS('Calls per Process'!$F$5:$F$70,'Calls per Process'!$A$5:$A$70,$A16)</f>
        <v/>
      </c>
      <c r="D16" s="11">
        <f>SUMIFS('Calls per Process'!$G$5:$G$70,'Calls per Process'!$A$5:$A$70,$A16)</f>
        <v/>
      </c>
    </row>
    <row r="17">
      <c r="A17" s="5" t="inlineStr">
        <is>
          <t>Export a part — STEP / IGES / 3MF</t>
        </is>
      </c>
      <c r="B17" s="5" t="inlineStr">
        <is>
          <t>PER PART, per export</t>
        </is>
      </c>
      <c r="C17" s="11">
        <f>SUMIFS('Calls per Process'!$F$5:$F$70,'Calls per Process'!$A$5:$A$70,$A17)</f>
        <v/>
      </c>
      <c r="D17" s="11">
        <f>SUMIFS('Calls per Process'!$G$5:$G$70,'Calls per Process'!$A$5:$A$70,$A17)</f>
        <v/>
      </c>
    </row>
    <row r="18">
      <c r="A18" s="5" t="inlineStr">
        <is>
          <t>Delete a part from PLM</t>
        </is>
      </c>
      <c r="B18" s="5" t="inlineStr">
        <is>
          <t>PER PART</t>
        </is>
      </c>
      <c r="C18" s="11">
        <f>SUMIFS('Calls per Process'!$F$5:$F$70,'Calls per Process'!$A$5:$A$70,$A18)</f>
        <v/>
      </c>
      <c r="D18" s="11">
        <f>SUMIFS('Calls per Process'!$G$5:$G$70,'Calls per Process'!$A$5:$A$70,$A18)</f>
        <v/>
      </c>
    </row>
    <row r="19">
      <c r="A19" s="5" t="inlineStr">
        <is>
          <t>Task moved on the board</t>
        </is>
      </c>
      <c r="B19" s="5" t="inlineStr">
        <is>
          <t>PER TASK</t>
        </is>
      </c>
      <c r="C19" s="11">
        <f>SUMIFS('Calls per Process'!$F$5:$F$70,'Calls per Process'!$A$5:$A$70,$A19)</f>
        <v/>
      </c>
      <c r="D19" s="11">
        <f>SUMIFS('Calls per Process'!$G$5:$G$70,'Calls per Process'!$A$5:$A$70,$A19)</f>
        <v/>
      </c>
    </row>
    <row r="20">
      <c r="A20" s="5" t="inlineStr">
        <is>
          <t>Comment on a task from PLM</t>
        </is>
      </c>
      <c r="B20" s="5" t="inlineStr">
        <is>
          <t>PER COMMENT</t>
        </is>
      </c>
      <c r="C20" s="11">
        <f>SUMIFS('Calls per Process'!$F$5:$F$70,'Calls per Process'!$A$5:$A$70,$A20)</f>
        <v/>
      </c>
      <c r="D20" s="11">
        <f>SUMIFS('Calls per Process'!$G$5:$G$70,'Calls per Process'!$A$5:$A$70,$A20)</f>
        <v/>
      </c>
    </row>
    <row r="21">
      <c r="A21" s="5" t="inlineStr">
        <is>
          <t>Edit a task in PLM</t>
        </is>
      </c>
      <c r="B21" s="5" t="inlineStr">
        <is>
          <t>PER TASK</t>
        </is>
      </c>
      <c r="C21" s="11">
        <f>SUMIFS('Calls per Process'!$F$5:$F$70,'Calls per Process'!$A$5:$A$70,$A21)</f>
        <v/>
      </c>
      <c r="D21" s="11">
        <f>SUMIFS('Calls per Process'!$G$5:$G$70,'Calls per Process'!$A$5:$A$70,$A21)</f>
        <v/>
      </c>
    </row>
    <row r="22">
      <c r="A22" s="5" t="inlineStr">
        <is>
          <t>Remove a task in Onshape</t>
        </is>
      </c>
      <c r="B22" s="5" t="inlineStr">
        <is>
          <t>PER TASK</t>
        </is>
      </c>
      <c r="C22" s="11">
        <f>SUMIFS('Calls per Process'!$F$5:$F$70,'Calls per Process'!$A$5:$A$70,$A22)</f>
        <v/>
      </c>
      <c r="D22" s="11">
        <f>SUMIFS('Calls per Process'!$G$5:$G$70,'Calls per Process'!$A$5:$A$70,$A22)</f>
        <v/>
      </c>
    </row>
    <row r="23">
      <c r="A23" s="9" t="inlineStr">
        <is>
          <t>Per-enterprise, per-assembly, per-release and per-user processes</t>
        </is>
      </c>
      <c r="B23" s="10" t="n"/>
      <c r="C23" s="10" t="n"/>
      <c r="D23" s="10" t="n"/>
    </row>
    <row r="24">
      <c r="A24" s="5" t="inlineStr">
        <is>
          <t>Connect Onshape account</t>
        </is>
      </c>
      <c r="B24" s="5" t="inlineStr">
        <is>
          <t>Per user (one-off)</t>
        </is>
      </c>
      <c r="C24" s="11">
        <f>SUMIFS('Calls per Process'!$F$5:$F$70,'Calls per Process'!$A$5:$A$70,$A24)</f>
        <v/>
      </c>
      <c r="D24" s="11">
        <f>SUMIFS('Calls per Process'!$G$5:$G$70,'Calls per Process'!$A$5:$A$70,$A24)</f>
        <v/>
      </c>
    </row>
    <row r="25">
      <c r="A25" s="5" t="inlineStr">
        <is>
          <t>Property discovery</t>
        </is>
      </c>
      <c r="B25" s="5" t="inlineStr">
        <is>
          <t>Per enterprise (on demand)</t>
        </is>
      </c>
      <c r="C25" s="11">
        <f>SUMIFS('Calls per Process'!$F$5:$F$70,'Calls per Process'!$A$5:$A$70,$A25)</f>
        <v/>
      </c>
      <c r="D25" s="11">
        <f>SUMIFS('Calls per Process'!$G$5:$G$70,'Calls per Process'!$A$5:$A$70,$A25)</f>
        <v/>
      </c>
    </row>
    <row r="26">
      <c r="A26" s="5" t="inlineStr">
        <is>
          <t>Register webhook</t>
        </is>
      </c>
      <c r="B26" s="5" t="inlineStr">
        <is>
          <t>Per enterprise (one-off)</t>
        </is>
      </c>
      <c r="C26" s="11">
        <f>SUMIFS('Calls per Process'!$F$5:$F$70,'Calls per Process'!$A$5:$A$70,$A26)</f>
        <v/>
      </c>
      <c r="D26" s="11">
        <f>SUMIFS('Calls per Process'!$G$5:$G$70,'Calls per Process'!$A$5:$A$70,$A26)</f>
        <v/>
      </c>
    </row>
    <row r="27">
      <c r="A27" s="5" t="inlineStr">
        <is>
          <t>Import from Assembly — setup</t>
        </is>
      </c>
      <c r="B27" s="5" t="inlineStr">
        <is>
          <t>Per assembly</t>
        </is>
      </c>
      <c r="C27" s="11">
        <f>SUMIFS('Calls per Process'!$F$5:$F$70,'Calls per Process'!$A$5:$A$70,$A27)</f>
        <v/>
      </c>
      <c r="D27" s="11">
        <f>SUMIFS('Calls per Process'!$G$5:$G$70,'Calls per Process'!$A$5:$A$70,$A27)</f>
        <v/>
      </c>
    </row>
    <row r="28">
      <c r="A28" s="5" t="inlineStr">
        <is>
          <t>Release raised in Onshape</t>
        </is>
      </c>
      <c r="B28" s="5" t="inlineStr">
        <is>
          <t>Per release</t>
        </is>
      </c>
      <c r="C28" s="11">
        <f>SUMIFS('Calls per Process'!$F$5:$F$70,'Calls per Process'!$A$5:$A$70,$A28)</f>
        <v/>
      </c>
      <c r="D28" s="11">
        <f>SUMIFS('Calls per Process'!$G$5:$G$70,'Calls per Process'!$A$5:$A$70,$A28)</f>
        <v/>
      </c>
    </row>
    <row r="29">
      <c r="A29" s="5" t="inlineStr">
        <is>
          <t>Release decided in PLM</t>
        </is>
      </c>
      <c r="B29" s="5" t="inlineStr">
        <is>
          <t>Per release</t>
        </is>
      </c>
      <c r="C29" s="11">
        <f>SUMIFS('Calls per Process'!$F$5:$F$70,'Calls per Process'!$A$5:$A$70,$A29)</f>
        <v/>
      </c>
      <c r="D29" s="11">
        <f>SUMIFS('Calls per Process'!$G$5:$G$70,'Calls per Process'!$A$5:$A$70,$A29)</f>
        <v/>
      </c>
    </row>
    <row r="30">
      <c r="A30" s="5" t="inlineStr">
        <is>
          <t>Release raised from PLM</t>
        </is>
      </c>
      <c r="B30" s="5" t="inlineStr">
        <is>
          <t>Per release</t>
        </is>
      </c>
      <c r="C30" s="11">
        <f>SUMIFS('Calls per Process'!$F$5:$F$70,'Calls per Process'!$A$5:$A$70,$A30)</f>
        <v/>
      </c>
      <c r="D30" s="11">
        <f>SUMIFS('Calls per Process'!$G$5:$G$70,'Calls per Process'!$A$5:$A$70,$A30)</f>
        <v/>
      </c>
    </row>
    <row r="31">
      <c r="A31" s="5" t="inlineStr">
        <is>
          <t>Drawing refresh after release</t>
        </is>
      </c>
      <c r="B31" s="5" t="inlineStr">
        <is>
          <t>Per release, per attempt</t>
        </is>
      </c>
      <c r="C31" s="11">
        <f>SUMIFS('Calls per Process'!$F$5:$F$70,'Calls per Process'!$A$5:$A$70,$A31)</f>
        <v/>
      </c>
      <c r="D31" s="11">
        <f>SUMIFS('Calls per Process'!$G$5:$G$70,'Calls per Process'!$A$5:$A$70,$A31)</f>
        <v/>
      </c>
    </row>
    <row r="32">
      <c r="A32" s="5" t="inlineStr">
        <is>
          <t>Task sync from Onshape</t>
        </is>
      </c>
      <c r="B32" s="5" t="inlineStr">
        <is>
          <t>Per enterprise (per sync)</t>
        </is>
      </c>
      <c r="C32" s="11">
        <f>SUMIFS('Calls per Process'!$F$5:$F$70,'Calls per Process'!$A$5:$A$70,$A32)</f>
        <v/>
      </c>
      <c r="D32" s="11">
        <f>SUMIFS('Calls per Process'!$G$5:$G$70,'Calls per Process'!$A$5:$A$70,$A32)</f>
        <v/>
      </c>
    </row>
    <row r="33">
      <c r="A33" s="9" t="inlineStr">
        <is>
          <t>Processes that cost no Onshape calls at all</t>
        </is>
      </c>
      <c r="B33" s="10" t="n"/>
      <c r="C33" s="10" t="n"/>
      <c r="D33" s="10" t="n"/>
    </row>
    <row r="34">
      <c r="A34" s="5" t="inlineStr">
        <is>
          <t>View a product BOM</t>
        </is>
      </c>
      <c r="B34" s="5" t="inlineStr">
        <is>
          <t>Per view</t>
        </is>
      </c>
      <c r="C34" s="11">
        <f>SUMIFS('Calls per Process'!$F$5:$F$70,'Calls per Process'!$A$5:$A$70,$A34)</f>
        <v/>
      </c>
      <c r="D34" s="11">
        <f>SUMIFS('Calls per Process'!$G$5:$G$70,'Calls per Process'!$A$5:$A$70,$A34)</f>
        <v/>
      </c>
    </row>
    <row r="35">
      <c r="A35" s="5" t="inlineStr">
        <is>
          <t>Tasks shown against a part</t>
        </is>
      </c>
      <c r="B35" s="5" t="inlineStr">
        <is>
          <t>Per view</t>
        </is>
      </c>
      <c r="C35" s="11">
        <f>SUMIFS('Calls per Process'!$F$5:$F$70,'Calls per Process'!$A$5:$A$70,$A35)</f>
        <v/>
      </c>
      <c r="D35" s="11">
        <f>SUMIFS('Calls per Process'!$G$5:$G$70,'Calls per Process'!$A$5:$A$70,$A35)</f>
        <v/>
      </c>
    </row>
    <row r="36">
      <c r="A36" s="5" t="inlineStr">
        <is>
          <t>Dashboard, search and reports</t>
        </is>
      </c>
      <c r="B36" s="5" t="inlineStr">
        <is>
          <t>Per view</t>
        </is>
      </c>
      <c r="C36" s="11">
        <f>SUMIFS('Calls per Process'!$F$5:$F$70,'Calls per Process'!$A$5:$A$70,$A36)</f>
        <v/>
      </c>
      <c r="D36" s="11">
        <f>SUMIFS('Calls per Process'!$G$5:$G$70,'Calls per Process'!$A$5:$A$70,$A36)</f>
        <v/>
      </c>
    </row>
    <row r="38">
      <c r="A38" s="9" t="inlineStr">
        <is>
          <t>Worked examples</t>
        </is>
      </c>
      <c r="B38" s="10" t="n"/>
      <c r="C38" s="10" t="n"/>
      <c r="D38" s="10" t="n"/>
    </row>
    <row r="39">
      <c r="A39" s="5" t="inlineStr">
        <is>
          <t>First enrolment of a part (cold cache)</t>
        </is>
      </c>
      <c r="B39" s="11" t="inlineStr">
        <is>
          <t>One part</t>
        </is>
      </c>
      <c r="C39" s="11">
        <f>C7</f>
        <v/>
      </c>
      <c r="D39" s="11">
        <f>C7</f>
        <v/>
      </c>
      <c r="E39" s="12" t="inlineStr">
        <is>
          <t>Everything unread: the element lookup is paid for.</t>
        </is>
      </c>
    </row>
    <row r="40">
      <c r="A40" s="5" t="inlineStr">
        <is>
          <t>Another part in the same tab (warm cache)</t>
        </is>
      </c>
      <c r="B40" s="11" t="inlineStr">
        <is>
          <t>One part</t>
        </is>
      </c>
      <c r="C40" s="11">
        <f>D7</f>
        <v/>
      </c>
      <c r="D40" s="11">
        <f>D7</f>
        <v/>
      </c>
      <c r="E40" s="12" t="inlineStr">
        <is>
          <t>The element and document lookups are already cached.</t>
        </is>
      </c>
    </row>
    <row r="41">
      <c r="A41" s="5" t="inlineStr">
        <is>
          <t>Import a 40-row assembly</t>
        </is>
      </c>
      <c r="B41" s="11" t="inlineStr">
        <is>
          <t>One assembly, 40 parts</t>
        </is>
      </c>
      <c r="C41" s="11">
        <f>C27+C10+39*D10</f>
        <v/>
      </c>
      <c r="D41" s="11">
        <f>D27+40*D10</f>
        <v/>
      </c>
      <c r="E41" s="12" t="inlineStr">
        <is>
          <t>Setup once, then one row cold and the other 39 warm. The BOM itself is a single call however deep the tree.</t>
        </is>
      </c>
    </row>
    <row r="42">
      <c r="A42" s="5" t="inlineStr">
        <is>
          <t>Open the panel and show a thumbnail</t>
        </is>
      </c>
      <c r="B42" s="11" t="inlineStr">
        <is>
          <t>One part, first view</t>
        </is>
      </c>
      <c r="C42" s="11">
        <f>C6+C14</f>
        <v/>
      </c>
      <c r="D42" s="11">
        <f>D6+D14</f>
        <v/>
      </c>
      <c r="E42" s="12" t="inlineStr">
        <is>
          <t>The thumbnail is then free for 7 days.</t>
        </is>
      </c>
    </row>
    <row r="43">
      <c r="A43" s="5" t="inlineStr">
        <is>
          <t>Sync 30 tasks</t>
        </is>
      </c>
      <c r="B43" s="11" t="inlineStr">
        <is>
          <t>One sync, 30 tasks</t>
        </is>
      </c>
      <c r="C43" s="11">
        <f>C32+29</f>
        <v/>
      </c>
      <c r="D43" s="11">
        <f>D32+29</f>
        <v/>
      </c>
      <c r="E43" s="12" t="inlineStr">
        <is>
          <t>Two list calls plus one read per task — the read is what makes a task actionable.</t>
        </is>
      </c>
    </row>
    <row r="45">
      <c r="A45" s="12" t="inlineStr">
        <is>
          <t>Source: src/lib/onshape/live-client.ts, src/lib/sync.ts, src/lib/release.ts, src/lib/tasks.ts, src/lib/bom-import.ts and the API routes under src/app/api. Endpoint facts cross-checked against Onshape's OpenAPI definition and a live tenant — see docs/ONSHAPE-INTEGRATION-SPEC.md.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2026-09-12T17:19:58Z</dcterms:created>
  <dcterms:modified xsi:type="dcterms:W3CDTF">2026-09-12T17:19:59Z</dcterms:modified>
</cp:coreProperties>
</file>