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Gideon/sites/PLM/docs/"/>
    </mc:Choice>
  </mc:AlternateContent>
  <xr:revisionPtr revIDLastSave="0" documentId="13_ncr:1_{344E3DF3-B082-7647-9E4B-420DA1228E96}" xr6:coauthVersionLast="47" xr6:coauthVersionMax="47" xr10:uidLastSave="{00000000-0000-0000-0000-000000000000}"/>
  <bookViews>
    <workbookView xWindow="67460" yWindow="-200" windowWidth="24380" windowHeight="17080" activeTab="2" xr2:uid="{00000000-000D-0000-FFFF-FFFF00000000}"/>
  </bookViews>
  <sheets>
    <sheet name="API Endpoints" sheetId="1" r:id="rId1"/>
    <sheet name="Calls per Process" sheetId="2" r:id="rId2"/>
    <sheet name="Calls per Process 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/>
  <c r="C36" i="3"/>
  <c r="D35" i="3"/>
  <c r="C35" i="3"/>
  <c r="D34" i="3"/>
  <c r="C34" i="3"/>
  <c r="D32" i="3"/>
  <c r="D43" i="3" s="1"/>
  <c r="C32" i="3"/>
  <c r="C43" i="3" s="1"/>
  <c r="D31" i="3"/>
  <c r="C31" i="3"/>
  <c r="D30" i="3"/>
  <c r="C30" i="3"/>
  <c r="D29" i="3"/>
  <c r="C29" i="3"/>
  <c r="D28" i="3"/>
  <c r="C28" i="3"/>
  <c r="D27" i="3"/>
  <c r="D41" i="3" s="1"/>
  <c r="C27" i="3"/>
  <c r="C41" i="3" s="1"/>
  <c r="D26" i="3"/>
  <c r="C26" i="3"/>
  <c r="D25" i="3"/>
  <c r="C25" i="3"/>
  <c r="D24" i="3"/>
  <c r="C24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D9" i="3"/>
  <c r="C9" i="3"/>
  <c r="D8" i="3"/>
  <c r="C8" i="3"/>
  <c r="D7" i="3"/>
  <c r="D40" i="3" s="1"/>
  <c r="C7" i="3"/>
  <c r="D39" i="3" s="1"/>
  <c r="D6" i="3"/>
  <c r="D42" i="3" s="1"/>
  <c r="C6" i="3"/>
  <c r="C42" i="3" s="1"/>
  <c r="C39" i="3" l="1"/>
  <c r="C40" i="3"/>
</calcChain>
</file>

<file path=xl/sharedStrings.xml><?xml version="1.0" encoding="utf-8"?>
<sst xmlns="http://schemas.openxmlformats.org/spreadsheetml/2006/main" count="729" uniqueCount="340">
  <si>
    <t>Onshape API endpoints called by PLM</t>
  </si>
  <si>
    <t>Every outbound Onshape REST call the application makes, taken from src/lib/onshape/live-client.ts. Refs are used on the other sheets.</t>
  </si>
  <si>
    <t>Ref</t>
  </si>
  <si>
    <t>Client method</t>
  </si>
  <si>
    <t>HTTP</t>
  </si>
  <si>
    <t>Endpoint</t>
  </si>
  <si>
    <t>What it is for</t>
  </si>
  <si>
    <t>Caching</t>
  </si>
  <si>
    <t>Env override</t>
  </si>
  <si>
    <t>A1</t>
  </si>
  <si>
    <t>getAuthenticatedUser</t>
  </si>
  <si>
    <t>GET</t>
  </si>
  <si>
    <t>/users/sessioninfo</t>
  </si>
  <si>
    <t>Identify the signed-in Onshape user; also supplies the enterprise vanity domain used to build links back into Onshape.</t>
  </si>
  <si>
    <t>None</t>
  </si>
  <si>
    <t>—</t>
  </si>
  <si>
    <t>A2</t>
  </si>
  <si>
    <t>listPropertyDefinitions</t>
  </si>
  <si>
    <t>/metadataschema?ownerId={companyId}&amp;ownerType=1&amp;active=true</t>
  </si>
  <si>
    <t>Enumerate the enterprise's custom property definitions, so PLM attributes can be mapped to real Onshape property ids.</t>
  </si>
  <si>
    <t>5 min, in-process</t>
  </si>
  <si>
    <t>ONSHAPE_METADATA_SCHEMA_PATH</t>
  </si>
  <si>
    <t>A3</t>
  </si>
  <si>
    <t>getElementInfo</t>
  </si>
  <si>
    <t>/documents/d/{did}/{w|v}/{wvid}/elements?elementId={eid}</t>
  </si>
  <si>
    <t>Tab name and element type. Guards against treating a Part Studio, assembly or drawing as the wrong kind of thing.</t>
  </si>
  <si>
    <t>A4</t>
  </si>
  <si>
    <t>getDocumentInfo</t>
  </si>
  <si>
    <t>/documents/{did}</t>
  </si>
  <si>
    <t>Document name, default workspace, and whether the account may write to it.</t>
  </si>
  <si>
    <t>A5</t>
  </si>
  <si>
    <t>getDocumentInfo (fallback)</t>
  </si>
  <si>
    <t>/documents/d/{did}/workspaces</t>
  </si>
  <si>
    <t>Find a workspace when the document record does not name a default one. Conditional, so it has no process row of its own.</t>
  </si>
  <si>
    <t>Shares A4's cache entry</t>
  </si>
  <si>
    <t>A6</t>
  </si>
  <si>
    <t>listElementParts</t>
  </si>
  <si>
    <t>/parts/d/{did}/{w|v}/{wvid}/e/{eid}</t>
  </si>
  <si>
    <t>List the parts in an element — used to resolve a part number to a part id, and by the webhook path.</t>
  </si>
  <si>
    <t>ONSHAPE_PARTS_PATH</t>
  </si>
  <si>
    <t>A7</t>
  </si>
  <si>
    <t>getAssemblyBom</t>
  </si>
  <si>
    <t>/assemblies/d/{did}/{w|v}/{wvid}/e/{eid}/bom?indented=true&amp;multiLevel=true</t>
  </si>
  <si>
    <t>The structured bill of materials. One call returns the WHOLE tree: indent level carries the hierarchy, so subassemblies cost no extra calls.</t>
  </si>
  <si>
    <t>ONSHAPE_BOM_PATH</t>
  </si>
  <si>
    <t>A8</t>
  </si>
  <si>
    <t>getPartMetadata</t>
  </si>
  <si>
    <t>/metadata/d/{did}/{w|v}/{wvid}/e/{eid}/p/{pid}</t>
  </si>
  <si>
    <t>Read every property on the part — the mirror read behind almost every sync.</t>
  </si>
  <si>
    <t>A9</t>
  </si>
  <si>
    <t>updatePartProperties</t>
  </si>
  <si>
    <t>POST</t>
  </si>
  <si>
    <t>Write PLM's values back. Sent only for properties whose value differs, so a settled part costs nothing.</t>
  </si>
  <si>
    <t>A10</t>
  </si>
  <si>
    <t>getPartThumbnail</t>
  </si>
  <si>
    <t>/parts|/assemblies/d/{did}/{w|v}/{wvid}/e/{eid}/shadedviews/…</t>
  </si>
  <si>
    <t>Render an image of the part or assembly.</t>
  </si>
  <si>
    <t>7 days in MongoDB; 1 hr backoff after a failure</t>
  </si>
  <si>
    <t>ONSHAPE_SHADEDVIEWS_PATH / ONSHAPE_ASSEMBLY_SHADEDVIEWS_PATH</t>
  </si>
  <si>
    <t>A11</t>
  </si>
  <si>
    <t>getMassProperties</t>
  </si>
  <si>
    <t>/partstudios|/assemblies/d/{did}/{w|v}/{wvid}/e/{eid}/massproperties</t>
  </si>
  <si>
    <t>Mass, volume, density and centre of mass. The mass is synced into PLM's Mass attribute.</t>
  </si>
  <si>
    <t>ONSHAPE_MASSPROPERTIES_PATH / ONSHAPE_ASSEMBLY_MASSPROPERTIES_PATH</t>
  </si>
  <si>
    <t>A12</t>
  </si>
  <si>
    <t>exportPart (direct)</t>
  </si>
  <si>
    <t>/parts/d/{did}/{w|v}/{wvid}/e/{eid}/{stl|parasolid}</t>
  </si>
  <si>
    <t>Formats Onshape streams back directly, with no translation job.</t>
  </si>
  <si>
    <t>A13</t>
  </si>
  <si>
    <t>exportViaTranslation</t>
  </si>
  <si>
    <t>/partstudios|/assemblies/d/{did}/{w|v}/{wvid}/e/{eid}/translations</t>
  </si>
  <si>
    <t>Request a STEP / IGES / 3MF translation. Asynchronous — see A14 and A15.</t>
  </si>
  <si>
    <t>ONSHAPE_TRANSLATIONS_PATH / ONSHAPE_ASSEMBLY_TRANSLATIONS_PATH</t>
  </si>
  <si>
    <t>A14</t>
  </si>
  <si>
    <t>awaitTranslation (poll)</t>
  </si>
  <si>
    <t>/translations/{tid}</t>
  </si>
  <si>
    <t>Poll a translation job until it leaves ACTIVE/PENDING. Backoff schedule 3s, 5s, 10s, 20s, 25s, 25s.</t>
  </si>
  <si>
    <t>A15</t>
  </si>
  <si>
    <t>translation download</t>
  </si>
  <si>
    <t>/documents/d/{did}/externaldata/{fid}</t>
  </si>
  <si>
    <t>Fetch the finished translation's bytes.</t>
  </si>
  <si>
    <t>A16</t>
  </si>
  <si>
    <t>exportDrawingPdf</t>
  </si>
  <si>
    <t>/drawings/d/{did}/{w|v}/{wvid}/e/{eid}/translations</t>
  </si>
  <si>
    <t>Render a drawing to PDF, for the sheets captured with a release.</t>
  </si>
  <si>
    <t>ONSHAPE_DRAWINGS_PATH</t>
  </si>
  <si>
    <t>A17</t>
  </si>
  <si>
    <t>registerWebhook</t>
  </si>
  <si>
    <t>/webhooks</t>
  </si>
  <si>
    <t>Subscribe to the enterprise's metadata, revision and task events.</t>
  </si>
  <si>
    <t>A18</t>
  </si>
  <si>
    <t>listWebhooks</t>
  </si>
  <si>
    <t>/webhooks?company={companyId}</t>
  </si>
  <si>
    <t>List what Onshape already holds, so orphaned subscriptions can be cleared.</t>
  </si>
  <si>
    <t>A19</t>
  </si>
  <si>
    <t>unregisterWebhook</t>
  </si>
  <si>
    <t>DELETE</t>
  </si>
  <si>
    <t>/webhooks/{webhookId}</t>
  </si>
  <si>
    <t>Remove a subscription PLM no longer owns.</t>
  </si>
  <si>
    <t>A20</t>
  </si>
  <si>
    <t>getReleaseWorkflow (policies)</t>
  </si>
  <si>
    <t>/companies/{companyId}/policies</t>
  </si>
  <si>
    <t>Find the enterprise's release workflow id, needed to raise a package.</t>
  </si>
  <si>
    <t>A21</t>
  </si>
  <si>
    <t>getReleaseWorkflow (active)</t>
  </si>
  <si>
    <t>/workflow/active</t>
  </si>
  <si>
    <t>Fallback when the policy document does not name a workflow.</t>
  </si>
  <si>
    <t>A22</t>
  </si>
  <si>
    <t>getReleasePackage</t>
  </si>
  <si>
    <t>/releasepackages/{rpid}</t>
  </si>
  <si>
    <t>The package: items, properties, and the workflow actions currently on offer. Also the poll used while waiting for a transition to land.</t>
  </si>
  <si>
    <t>A23</t>
  </si>
  <si>
    <t>transitionReleasePackage</t>
  </si>
  <si>
    <t>/releasepackages/{rpid}?action=UPDATE&amp;wfaction={actionId}</t>
  </si>
  <si>
    <t>Approve or reject. The workflow action is the wfaction QUERY parameter; 'action' is a different parameter entirely.</t>
  </si>
  <si>
    <t>A24</t>
  </si>
  <si>
    <t>createReleasePackage</t>
  </si>
  <si>
    <t>/releasepackages/release/{wfid}</t>
  </si>
  <si>
    <t>Raise a release from PLM rather than reacting to one raised in Onshape.</t>
  </si>
  <si>
    <t>A25</t>
  </si>
  <si>
    <t>getWorkflowObjectState</t>
  </si>
  <si>
    <t>/workflow/obj/{objectId}</t>
  </si>
  <si>
    <t>Lightweight state check on a workflow object, instead of re-reading a whole package. IMPLEMENTED BUT NOT CURRENTLY CALLED — kept as the cheaper alternative to polling A22.</t>
  </si>
  <si>
    <t>A26</t>
  </si>
  <si>
    <t>listElements</t>
  </si>
  <si>
    <t>/documents/d/{did}/{w|v}/{wvid}/elements</t>
  </si>
  <si>
    <t>Every tab in a document — used when raising a release to find the drawings that belong with a part.</t>
  </si>
  <si>
    <t>A27</t>
  </si>
  <si>
    <t>listTasks</t>
  </si>
  <si>
    <t>/tasks?limit=100&amp;offset={n}</t>
  </si>
  <si>
    <t>getActionItems: tasks the calling account created or was assigned. limit is capped at 100 and enforced, so PLM pages.</t>
  </si>
  <si>
    <t>ONSHAPE_TASKS_PATH</t>
  </si>
  <si>
    <t>A28</t>
  </si>
  <si>
    <t>findTasks</t>
  </si>
  <si>
    <t>/tasks/find</t>
  </si>
  <si>
    <t>Every task in the enterprise, not just the caller's. Unpublished (x-BTVisibility: INTERNAL). Paging is in the BODY (from/size).</t>
  </si>
  <si>
    <t>A29</t>
  </si>
  <si>
    <t>getTask</t>
  </si>
  <si>
    <t>/tasks/{tid}</t>
  </si>
  <si>
    <t>One task in full, with the workflow snapshot that carries its state and available transitions.</t>
  </si>
  <si>
    <t>A30</t>
  </si>
  <si>
    <t>transitionTask</t>
  </si>
  <si>
    <t>/tasks/{tid}/{transition}</t>
  </si>
  <si>
    <t>Complete or discard a task. The value is the action's 'action' field, not its 'type'.</t>
  </si>
  <si>
    <t>A31</t>
  </si>
  <si>
    <t>updateTask</t>
  </si>
  <si>
    <t>Change name, description or properties. ALSO how a comment is posted — a comment is a write to the workflow's Comment property.</t>
  </si>
  <si>
    <t>A32</t>
  </si>
  <si>
    <t>deleteTask</t>
  </si>
  <si>
    <t>Delete a task outright. Unpublished, and refused for most tasks — PLM falls back to the workflow's discard transition (A30).</t>
  </si>
  <si>
    <t>Onshape API calls by business process</t>
  </si>
  <si>
    <t>Counts are per unit named in Scope. Rows shaded yellow are PER PART (or per drawing / per task). 'Cold' = nothing in the 5-minute element/document cache (the first part of a run); 'Warm' = those lookups already cached (every subsequent part).</t>
  </si>
  <si>
    <t>Business process</t>
  </si>
  <si>
    <t>Trigger</t>
  </si>
  <si>
    <t>Scope</t>
  </si>
  <si>
    <t>API call</t>
  </si>
  <si>
    <t>Cold cache</t>
  </si>
  <si>
    <t>Warm cache</t>
  </si>
  <si>
    <t>Range</t>
  </si>
  <si>
    <t>Notes</t>
  </si>
  <si>
    <t>Open the PLM panel</t>
  </si>
  <si>
    <t>Onshape right panel opens on a part</t>
  </si>
  <si>
    <t>PER PART, per open</t>
  </si>
  <si>
    <t>GET element</t>
  </si>
  <si>
    <t>Cached for 5 minutes, so only the first part looked at in a tab pays for it.</t>
  </si>
  <si>
    <t>GET part metadata</t>
  </si>
  <si>
    <t>The mirror read. Never cached — the panel must show what Onshape holds now.</t>
  </si>
  <si>
    <t>POST part metadata</t>
  </si>
  <si>
    <t>0–1</t>
  </si>
  <si>
    <t>Only when a mapped value differs. A settled part costs nothing.</t>
  </si>
  <si>
    <t>Enrol a part (Sync to PLM)</t>
  </si>
  <si>
    <t>Panel → Sync to PLM</t>
  </si>
  <si>
    <t>PER PART</t>
  </si>
  <si>
    <t>Refuses a drawing or the wrong element type before anything is written.</t>
  </si>
  <si>
    <t>Writes the PLM number back on first enrolment, then only on a real difference.</t>
  </si>
  <si>
    <t>Part changed in Onshape</t>
  </si>
  <si>
    <t>Onshape metadata webhook</t>
  </si>
  <si>
    <t>GET element parts</t>
  </si>
  <si>
    <t>Only when the event names no part id and the part has to be resolved.</t>
  </si>
  <si>
    <t>Suppressed for PLM's own writes, or the echo would loop.</t>
  </si>
  <si>
    <t>Push PLM fields to Onshape</t>
  </si>
  <si>
    <t>Part page → Save</t>
  </si>
  <si>
    <t>Only the properties that actually differ are sent.</t>
  </si>
  <si>
    <t>Import from Assembly — each row</t>
  </si>
  <si>
    <t>Import → Import selected</t>
  </si>
  <si>
    <t>Warm for every row after the first in the same tab.</t>
  </si>
  <si>
    <t>Re-sync all from Onshape</t>
  </si>
  <si>
    <t>Dashboard → Re-sync</t>
  </si>
  <si>
    <t>Part released (revision)</t>
  </si>
  <si>
    <t>Release takeover, per part in the package</t>
  </si>
  <si>
    <t>Reads the revision Onshape assigned, and snapshots the iteration.</t>
  </si>
  <si>
    <t>Drawing captured with a release</t>
  </si>
  <si>
    <t>Release takeover / drawing refresh</t>
  </si>
  <si>
    <t>PER DRAWING</t>
  </si>
  <si>
    <t>POST drawing translation</t>
  </si>
  <si>
    <t>One PDF render per drawing sheet in the package.</t>
  </si>
  <si>
    <t>GET translation</t>
  </si>
  <si>
    <t>1–7</t>
  </si>
  <si>
    <t>Polled on a 3s/5s/10s/20s/25s/25s backoff until the render finishes.</t>
  </si>
  <si>
    <t>GET external data</t>
  </si>
  <si>
    <t>Show a part thumbnail</t>
  </si>
  <si>
    <t>A part tile renders</t>
  </si>
  <si>
    <t>GET shaded view</t>
  </si>
  <si>
    <t>Held 7 days in MongoDB; a failed render is not retried for an hour.</t>
  </si>
  <si>
    <t>Show mass properties</t>
  </si>
  <si>
    <t>Part page → Mass properties</t>
  </si>
  <si>
    <t>GET mass properties</t>
  </si>
  <si>
    <t>The mass is written into PLM's Mass attribute as a side effect.</t>
  </si>
  <si>
    <t>Export a part — STL / Parasolid</t>
  </si>
  <si>
    <t>Part page → Export</t>
  </si>
  <si>
    <t>PER PART, per export</t>
  </si>
  <si>
    <t>GET part export</t>
  </si>
  <si>
    <t>Streamed straight back; no translation job.</t>
  </si>
  <si>
    <t>Export a part — STEP / IGES / 3MF</t>
  </si>
  <si>
    <t>POST translation</t>
  </si>
  <si>
    <t>Same backoff as a drawing render.</t>
  </si>
  <si>
    <t>Delete a part from PLM</t>
  </si>
  <si>
    <t>Part page → Delete</t>
  </si>
  <si>
    <t>Clears the PLM number in Onshape, when one was written.</t>
  </si>
  <si>
    <t>Task moved on the board</t>
  </si>
  <si>
    <t>Drag a card between columns</t>
  </si>
  <si>
    <t>PER TASK</t>
  </si>
  <si>
    <t>GET task</t>
  </si>
  <si>
    <t>Read first, so the transition offered is the one the task actually has.</t>
  </si>
  <si>
    <t>POST task transition</t>
  </si>
  <si>
    <t>Resolved / Rejected only. Onshape's task workflow has no in-progress state.</t>
  </si>
  <si>
    <t>POST task</t>
  </si>
  <si>
    <t>In Progress and Open are a write to the 'Task State' PROPERTY, not a transition.</t>
  </si>
  <si>
    <t>Comment on a task from PLM</t>
  </si>
  <si>
    <t>Task panel → Comment</t>
  </si>
  <si>
    <t>PER COMMENT</t>
  </si>
  <si>
    <t>Needed to find the workflow's Comment property id.</t>
  </si>
  <si>
    <t>A comment IS a property write. There is no comment endpoint for a task.</t>
  </si>
  <si>
    <t>Edit a task in PLM</t>
  </si>
  <si>
    <t>Task panel → Save</t>
  </si>
  <si>
    <t>Remove a task in Onshape</t>
  </si>
  <si>
    <t>Tasks → Remove in Onshape</t>
  </si>
  <si>
    <t>Re-read, so 'deletable' and the discard transition are current rather than stale.</t>
  </si>
  <si>
    <t>DELETE task</t>
  </si>
  <si>
    <t>Only where Onshape reports the task deletable — rare; 0 of 18 on a live tenant.</t>
  </si>
  <si>
    <t>The fallback that actually works: the workflow's own discard (OS_DISCARD).</t>
  </si>
  <si>
    <t>Connect Onshape account</t>
  </si>
  <si>
    <t>Settings → Connect Onshape</t>
  </si>
  <si>
    <t>Per user (one-off)</t>
  </si>
  <si>
    <t>GET session info</t>
  </si>
  <si>
    <t>Also captures the enterprise vanity domain used for links back into Onshape.</t>
  </si>
  <si>
    <t>Property discovery</t>
  </si>
  <si>
    <t>Settings → Run discovery</t>
  </si>
  <si>
    <t>Per enterprise (on demand)</t>
  </si>
  <si>
    <t>0 if no sample part</t>
  </si>
  <si>
    <t>Samples one part to learn the shape of the tenant's properties.</t>
  </si>
  <si>
    <t>GET document</t>
  </si>
  <si>
    <t>Inside getPartMetadata, to fill in the names.</t>
  </si>
  <si>
    <t>GET metadata schema</t>
  </si>
  <si>
    <t>The company-level definition list, merged with what the sample showed.</t>
  </si>
  <si>
    <t>Register webhook</t>
  </si>
  <si>
    <t>Settings → Register webhook</t>
  </si>
  <si>
    <t>Per enterprise (one-off)</t>
  </si>
  <si>
    <t>GET webhooks</t>
  </si>
  <si>
    <t>Lists what Onshape already holds for this company.</t>
  </si>
  <si>
    <t>DELETE webhook</t>
  </si>
  <si>
    <t>0–N</t>
  </si>
  <si>
    <t>One per orphaned subscription found.</t>
  </si>
  <si>
    <t>POST webhook</t>
  </si>
  <si>
    <t>Import from Assembly — setup</t>
  </si>
  <si>
    <t>Import → paste an assembly link</t>
  </si>
  <si>
    <t>Per assembly</t>
  </si>
  <si>
    <t>Refuses a Part Studio with a message naming the tab that was selected.</t>
  </si>
  <si>
    <t>GET assembly BOM</t>
  </si>
  <si>
    <t>ONE call for the whole tree. Indent level carries the hierarchy, so subassemblies cost nothing extra.</t>
  </si>
  <si>
    <t>Release raised in Onshape</t>
  </si>
  <si>
    <t>Onshape release webhook → takeover</t>
  </si>
  <si>
    <t>Per release</t>
  </si>
  <si>
    <t>GET release package</t>
  </si>
  <si>
    <t>Items, properties and the workflow actions on offer.</t>
  </si>
  <si>
    <t>Release decided in PLM</t>
  </si>
  <si>
    <t>Release page → Approve or Reject</t>
  </si>
  <si>
    <t>Re-read before deciding, so the action sent is one the package still offers.</t>
  </si>
  <si>
    <t>POST release transition</t>
  </si>
  <si>
    <t>wfaction is a QUERY parameter; sending it in the body earns a 200 and no effect.</t>
  </si>
  <si>
    <t>GET release package (poll)</t>
  </si>
  <si>
    <t>Polled ~12s total (400/800/1500/2500/3000/3000ms). The webhook covers the slow case.</t>
  </si>
  <si>
    <t>Release raised from PLM</t>
  </si>
  <si>
    <t>Releases → New release</t>
  </si>
  <si>
    <t>GET company policies</t>
  </si>
  <si>
    <t>Finds the workflow id.</t>
  </si>
  <si>
    <t>GET active workflow</t>
  </si>
  <si>
    <t>Fallback when the policy document names no workflow.</t>
  </si>
  <si>
    <t>GET elements</t>
  </si>
  <si>
    <t>Finds the drawings that belong with the parts being released.</t>
  </si>
  <si>
    <t>POST release package</t>
  </si>
  <si>
    <t>Drawing refresh after release</t>
  </si>
  <si>
    <t>Scheduled retry after a release lands</t>
  </si>
  <si>
    <t>Per release, per attempt</t>
  </si>
  <si>
    <t>1–6</t>
  </si>
  <si>
    <t>Retried on a 15s/45s/2m/5m/10m schedule while Onshape finishes translating the sheets.</t>
  </si>
  <si>
    <t>Task sync from Onshape</t>
  </si>
  <si>
    <t>Tasks → Sync, or a task webhook</t>
  </si>
  <si>
    <t>Per enterprise (per sync)</t>
  </si>
  <si>
    <t>GET tasks</t>
  </si>
  <si>
    <t>1–30</t>
  </si>
  <si>
    <t>Paged at 100 — the cap Onshape enforces. Only the caller's own tasks.</t>
  </si>
  <si>
    <t>POST task search</t>
  </si>
  <si>
    <t>The wider view: 8 tasks vs 174 on a live tenant. Paging is in the body, not the query.</t>
  </si>
  <si>
    <t>1 per task</t>
  </si>
  <si>
    <t>One per task. Neither list carries a workflow snapshot, so a board built from them would offer transitions the task does not have.</t>
  </si>
  <si>
    <t>View a product BOM</t>
  </si>
  <si>
    <t>BOM page → choose a product</t>
  </si>
  <si>
    <t>Per view</t>
  </si>
  <si>
    <t>(none)</t>
  </si>
  <si>
    <t>Served entirely from PLM's own structure. No Onshape call at any depth.</t>
  </si>
  <si>
    <t>Tasks shown against a part</t>
  </si>
  <si>
    <t>Part page, BOM panel or Onshape panel</t>
  </si>
  <si>
    <t>Answered from PLM's mirror — the links were resolved when the task was synced.</t>
  </si>
  <si>
    <t>Dashboard, search and reports</t>
  </si>
  <si>
    <t>Dashboard, product filter, CSV export</t>
  </si>
  <si>
    <t>PLM data only.</t>
  </si>
  <si>
    <t>Total Onshape calls per process</t>
  </si>
  <si>
    <t>Totals are summed live from the 'Calls per Process' sheet — edit a count there and these update. Per-unit processes are listed first. (Figures compute when Excel opens the file.)</t>
  </si>
  <si>
    <t>Calls — cold cache</t>
  </si>
  <si>
    <t>Calls — warm cache</t>
  </si>
  <si>
    <t>Per-unit processes (the ones that scale with your data)</t>
  </si>
  <si>
    <t>Per-enterprise, per-assembly, per-release and per-user processes</t>
  </si>
  <si>
    <t>Processes that cost no Onshape calls at all</t>
  </si>
  <si>
    <t>Worked examples</t>
  </si>
  <si>
    <t>First enrolment of a part (cold cache)</t>
  </si>
  <si>
    <t>One part</t>
  </si>
  <si>
    <t>Everything unread: the element lookup is paid for.</t>
  </si>
  <si>
    <t>Another part in the same tab (warm cache)</t>
  </si>
  <si>
    <t>The element and document lookups are already cached.</t>
  </si>
  <si>
    <t>Import a 40-row assembly</t>
  </si>
  <si>
    <t>One assembly, 40 parts</t>
  </si>
  <si>
    <t>Setup once, then one row cold and the other 39 warm. The BOM itself is a single call however deep the tree.</t>
  </si>
  <si>
    <t>Open the panel and show a thumbnail</t>
  </si>
  <si>
    <t>One part, first view</t>
  </si>
  <si>
    <t>The thumbnail is then free for 7 days.</t>
  </si>
  <si>
    <t>Sync 30 tasks</t>
  </si>
  <si>
    <t>One sync, 30 tasks</t>
  </si>
  <si>
    <t>Two list calls plus one read per task — the read is what makes a task actionable.</t>
  </si>
  <si>
    <t>Source: src/lib/onshape/live-client.ts, src/lib/sync.ts, src/lib/release.ts, src/lib/tasks.ts, src/lib/bom-import.ts and the API routes under src/app/api. Endpoint facts cross-checked against Onshape's OpenAPI definition and a live tenant — see docs/ONSHAPE-INTEGRATION-SPEC.md.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</si>
</sst>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9"/>
      <name val="Consolas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3" borderId="0" xfId="0" applyFont="1" applyFill="1" applyAlignment="1">
      <alignment vertical="top"/>
    </xf>
    <xf numFmtId="0" fontId="6" fillId="4" borderId="0" xfId="0" applyFont="1" applyFill="1"/>
    <xf numFmtId="0" fontId="0" fillId="4" borderId="0" xfId="0" applyFill="1"/>
    <xf numFmtId="0" fontId="4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workbookViewId="0">
      <pane ySplit="4" topLeftCell="A11" activePane="bottomLeft" state="frozen"/>
      <selection pane="bottomLeft" activeCell="D15" sqref="D15"/>
    </sheetView>
  </sheetViews>
  <sheetFormatPr baseColWidth="10" defaultColWidth="8.83203125" defaultRowHeight="15" x14ac:dyDescent="0.2"/>
  <cols>
    <col min="1" max="1" width="6" customWidth="1"/>
    <col min="2" max="2" width="26" customWidth="1"/>
    <col min="3" max="3" width="8" customWidth="1"/>
    <col min="4" max="4" width="64" customWidth="1"/>
    <col min="5" max="5" width="46" customWidth="1"/>
    <col min="6" max="7" width="30" customWidth="1"/>
  </cols>
  <sheetData>
    <row r="1" spans="1:7" ht="17" x14ac:dyDescent="0.2">
      <c r="A1" s="1" t="s">
        <v>0</v>
      </c>
    </row>
    <row r="2" spans="1:7" x14ac:dyDescent="0.2">
      <c r="A2" s="2" t="s">
        <v>1</v>
      </c>
    </row>
    <row r="4" spans="1:7" ht="30" customHeight="1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ht="42" x14ac:dyDescent="0.2">
      <c r="A5" s="4" t="s">
        <v>9</v>
      </c>
      <c r="B5" s="5" t="s">
        <v>10</v>
      </c>
      <c r="C5" s="4" t="s">
        <v>11</v>
      </c>
      <c r="D5" s="6" t="s">
        <v>12</v>
      </c>
      <c r="E5" s="5" t="s">
        <v>13</v>
      </c>
      <c r="F5" s="5" t="s">
        <v>14</v>
      </c>
      <c r="G5" s="5" t="s">
        <v>15</v>
      </c>
    </row>
    <row r="6" spans="1:7" ht="42" x14ac:dyDescent="0.2">
      <c r="A6" s="4" t="s">
        <v>16</v>
      </c>
      <c r="B6" s="5" t="s">
        <v>17</v>
      </c>
      <c r="C6" s="4" t="s">
        <v>11</v>
      </c>
      <c r="D6" s="6" t="s">
        <v>18</v>
      </c>
      <c r="E6" s="5" t="s">
        <v>19</v>
      </c>
      <c r="F6" s="5" t="s">
        <v>20</v>
      </c>
      <c r="G6" s="5" t="s">
        <v>21</v>
      </c>
    </row>
    <row r="7" spans="1:7" ht="42" x14ac:dyDescent="0.2">
      <c r="A7" s="4" t="s">
        <v>22</v>
      </c>
      <c r="B7" s="5" t="s">
        <v>23</v>
      </c>
      <c r="C7" s="4" t="s">
        <v>11</v>
      </c>
      <c r="D7" s="6" t="s">
        <v>24</v>
      </c>
      <c r="E7" s="5" t="s">
        <v>25</v>
      </c>
      <c r="F7" s="5" t="s">
        <v>20</v>
      </c>
      <c r="G7" s="5" t="s">
        <v>15</v>
      </c>
    </row>
    <row r="8" spans="1:7" ht="28" x14ac:dyDescent="0.2">
      <c r="A8" s="4" t="s">
        <v>26</v>
      </c>
      <c r="B8" s="5" t="s">
        <v>27</v>
      </c>
      <c r="C8" s="4" t="s">
        <v>11</v>
      </c>
      <c r="D8" s="6" t="s">
        <v>28</v>
      </c>
      <c r="E8" s="5" t="s">
        <v>29</v>
      </c>
      <c r="F8" s="5" t="s">
        <v>20</v>
      </c>
      <c r="G8" s="5" t="s">
        <v>15</v>
      </c>
    </row>
    <row r="9" spans="1:7" ht="42" x14ac:dyDescent="0.2">
      <c r="A9" s="4" t="s">
        <v>30</v>
      </c>
      <c r="B9" s="5" t="s">
        <v>31</v>
      </c>
      <c r="C9" s="4" t="s">
        <v>11</v>
      </c>
      <c r="D9" s="6" t="s">
        <v>32</v>
      </c>
      <c r="E9" s="5" t="s">
        <v>33</v>
      </c>
      <c r="F9" s="5" t="s">
        <v>34</v>
      </c>
      <c r="G9" s="5" t="s">
        <v>15</v>
      </c>
    </row>
    <row r="10" spans="1:7" ht="28" x14ac:dyDescent="0.2">
      <c r="A10" s="4" t="s">
        <v>35</v>
      </c>
      <c r="B10" s="5" t="s">
        <v>36</v>
      </c>
      <c r="C10" s="4" t="s">
        <v>11</v>
      </c>
      <c r="D10" s="6" t="s">
        <v>37</v>
      </c>
      <c r="E10" s="5" t="s">
        <v>38</v>
      </c>
      <c r="F10" s="5" t="s">
        <v>14</v>
      </c>
      <c r="G10" s="5" t="s">
        <v>39</v>
      </c>
    </row>
    <row r="11" spans="1:7" ht="42" x14ac:dyDescent="0.2">
      <c r="A11" s="4" t="s">
        <v>40</v>
      </c>
      <c r="B11" s="5" t="s">
        <v>41</v>
      </c>
      <c r="C11" s="4" t="s">
        <v>11</v>
      </c>
      <c r="D11" s="6" t="s">
        <v>42</v>
      </c>
      <c r="E11" s="5" t="s">
        <v>43</v>
      </c>
      <c r="F11" s="5" t="s">
        <v>14</v>
      </c>
      <c r="G11" s="5" t="s">
        <v>44</v>
      </c>
    </row>
    <row r="12" spans="1:7" ht="28" x14ac:dyDescent="0.2">
      <c r="A12" s="4" t="s">
        <v>45</v>
      </c>
      <c r="B12" s="5" t="s">
        <v>46</v>
      </c>
      <c r="C12" s="4" t="s">
        <v>11</v>
      </c>
      <c r="D12" s="6" t="s">
        <v>47</v>
      </c>
      <c r="E12" s="5" t="s">
        <v>48</v>
      </c>
      <c r="F12" s="5" t="s">
        <v>14</v>
      </c>
      <c r="G12" s="5" t="s">
        <v>15</v>
      </c>
    </row>
    <row r="13" spans="1:7" ht="28" x14ac:dyDescent="0.2">
      <c r="A13" s="4" t="s">
        <v>49</v>
      </c>
      <c r="B13" s="5" t="s">
        <v>50</v>
      </c>
      <c r="C13" s="4" t="s">
        <v>51</v>
      </c>
      <c r="D13" s="6" t="s">
        <v>47</v>
      </c>
      <c r="E13" s="5" t="s">
        <v>52</v>
      </c>
      <c r="F13" s="5" t="s">
        <v>14</v>
      </c>
      <c r="G13" s="5" t="s">
        <v>15</v>
      </c>
    </row>
    <row r="14" spans="1:7" ht="42" x14ac:dyDescent="0.2">
      <c r="A14" s="4" t="s">
        <v>53</v>
      </c>
      <c r="B14" s="5" t="s">
        <v>54</v>
      </c>
      <c r="C14" s="4" t="s">
        <v>11</v>
      </c>
      <c r="D14" s="6" t="s">
        <v>55</v>
      </c>
      <c r="E14" s="5" t="s">
        <v>56</v>
      </c>
      <c r="F14" s="5" t="s">
        <v>57</v>
      </c>
      <c r="G14" s="5" t="s">
        <v>58</v>
      </c>
    </row>
    <row r="15" spans="1:7" ht="56" x14ac:dyDescent="0.2">
      <c r="A15" s="4" t="s">
        <v>59</v>
      </c>
      <c r="B15" s="5" t="s">
        <v>60</v>
      </c>
      <c r="C15" s="4" t="s">
        <v>11</v>
      </c>
      <c r="D15" s="6" t="s">
        <v>61</v>
      </c>
      <c r="E15" s="5" t="s">
        <v>62</v>
      </c>
      <c r="F15" s="5" t="s">
        <v>14</v>
      </c>
      <c r="G15" s="5" t="s">
        <v>63</v>
      </c>
    </row>
    <row r="16" spans="1:7" ht="28" x14ac:dyDescent="0.2">
      <c r="A16" s="4" t="s">
        <v>64</v>
      </c>
      <c r="B16" s="5" t="s">
        <v>65</v>
      </c>
      <c r="C16" s="4" t="s">
        <v>11</v>
      </c>
      <c r="D16" s="6" t="s">
        <v>66</v>
      </c>
      <c r="E16" s="5" t="s">
        <v>67</v>
      </c>
      <c r="F16" s="5" t="s">
        <v>14</v>
      </c>
      <c r="G16" s="5" t="s">
        <v>39</v>
      </c>
    </row>
    <row r="17" spans="1:7" ht="56" x14ac:dyDescent="0.2">
      <c r="A17" s="4" t="s">
        <v>68</v>
      </c>
      <c r="B17" s="5" t="s">
        <v>69</v>
      </c>
      <c r="C17" s="4" t="s">
        <v>51</v>
      </c>
      <c r="D17" s="6" t="s">
        <v>70</v>
      </c>
      <c r="E17" s="5" t="s">
        <v>71</v>
      </c>
      <c r="F17" s="5" t="s">
        <v>14</v>
      </c>
      <c r="G17" s="5" t="s">
        <v>72</v>
      </c>
    </row>
    <row r="18" spans="1:7" ht="28" x14ac:dyDescent="0.2">
      <c r="A18" s="4" t="s">
        <v>73</v>
      </c>
      <c r="B18" s="5" t="s">
        <v>74</v>
      </c>
      <c r="C18" s="4" t="s">
        <v>11</v>
      </c>
      <c r="D18" s="6" t="s">
        <v>75</v>
      </c>
      <c r="E18" s="5" t="s">
        <v>76</v>
      </c>
      <c r="F18" s="5" t="s">
        <v>14</v>
      </c>
      <c r="G18" s="5" t="s">
        <v>15</v>
      </c>
    </row>
    <row r="19" spans="1:7" x14ac:dyDescent="0.2">
      <c r="A19" s="4" t="s">
        <v>77</v>
      </c>
      <c r="B19" s="5" t="s">
        <v>78</v>
      </c>
      <c r="C19" s="4" t="s">
        <v>11</v>
      </c>
      <c r="D19" s="6" t="s">
        <v>79</v>
      </c>
      <c r="E19" s="5" t="s">
        <v>80</v>
      </c>
      <c r="F19" s="5" t="s">
        <v>14</v>
      </c>
      <c r="G19" s="5" t="s">
        <v>15</v>
      </c>
    </row>
    <row r="20" spans="1:7" ht="28" x14ac:dyDescent="0.2">
      <c r="A20" s="4" t="s">
        <v>81</v>
      </c>
      <c r="B20" s="5" t="s">
        <v>82</v>
      </c>
      <c r="C20" s="4" t="s">
        <v>51</v>
      </c>
      <c r="D20" s="6" t="s">
        <v>83</v>
      </c>
      <c r="E20" s="5" t="s">
        <v>84</v>
      </c>
      <c r="F20" s="5" t="s">
        <v>14</v>
      </c>
      <c r="G20" s="5" t="s">
        <v>85</v>
      </c>
    </row>
    <row r="21" spans="1:7" ht="28" x14ac:dyDescent="0.2">
      <c r="A21" s="4" t="s">
        <v>86</v>
      </c>
      <c r="B21" s="5" t="s">
        <v>87</v>
      </c>
      <c r="C21" s="4" t="s">
        <v>51</v>
      </c>
      <c r="D21" s="6" t="s">
        <v>88</v>
      </c>
      <c r="E21" s="5" t="s">
        <v>89</v>
      </c>
      <c r="F21" s="5" t="s">
        <v>14</v>
      </c>
      <c r="G21" s="5" t="s">
        <v>15</v>
      </c>
    </row>
    <row r="22" spans="1:7" ht="28" x14ac:dyDescent="0.2">
      <c r="A22" s="4" t="s">
        <v>90</v>
      </c>
      <c r="B22" s="5" t="s">
        <v>91</v>
      </c>
      <c r="C22" s="4" t="s">
        <v>11</v>
      </c>
      <c r="D22" s="6" t="s">
        <v>92</v>
      </c>
      <c r="E22" s="5" t="s">
        <v>93</v>
      </c>
      <c r="F22" s="5" t="s">
        <v>14</v>
      </c>
      <c r="G22" s="5" t="s">
        <v>15</v>
      </c>
    </row>
    <row r="23" spans="1:7" x14ac:dyDescent="0.2">
      <c r="A23" s="4" t="s">
        <v>94</v>
      </c>
      <c r="B23" s="5" t="s">
        <v>95</v>
      </c>
      <c r="C23" s="4" t="s">
        <v>96</v>
      </c>
      <c r="D23" s="6" t="s">
        <v>97</v>
      </c>
      <c r="E23" s="5" t="s">
        <v>98</v>
      </c>
      <c r="F23" s="5" t="s">
        <v>14</v>
      </c>
      <c r="G23" s="5" t="s">
        <v>15</v>
      </c>
    </row>
    <row r="24" spans="1:7" ht="28" x14ac:dyDescent="0.2">
      <c r="A24" s="4" t="s">
        <v>99</v>
      </c>
      <c r="B24" s="5" t="s">
        <v>100</v>
      </c>
      <c r="C24" s="4" t="s">
        <v>11</v>
      </c>
      <c r="D24" s="6" t="s">
        <v>101</v>
      </c>
      <c r="E24" s="5" t="s">
        <v>102</v>
      </c>
      <c r="F24" s="5" t="s">
        <v>14</v>
      </c>
      <c r="G24" s="5" t="s">
        <v>15</v>
      </c>
    </row>
    <row r="25" spans="1:7" ht="28" x14ac:dyDescent="0.2">
      <c r="A25" s="4" t="s">
        <v>103</v>
      </c>
      <c r="B25" s="5" t="s">
        <v>104</v>
      </c>
      <c r="C25" s="4" t="s">
        <v>11</v>
      </c>
      <c r="D25" s="6" t="s">
        <v>105</v>
      </c>
      <c r="E25" s="5" t="s">
        <v>106</v>
      </c>
      <c r="F25" s="5" t="s">
        <v>14</v>
      </c>
      <c r="G25" s="5" t="s">
        <v>15</v>
      </c>
    </row>
    <row r="26" spans="1:7" ht="42" x14ac:dyDescent="0.2">
      <c r="A26" s="4" t="s">
        <v>107</v>
      </c>
      <c r="B26" s="5" t="s">
        <v>108</v>
      </c>
      <c r="C26" s="4" t="s">
        <v>11</v>
      </c>
      <c r="D26" s="6" t="s">
        <v>109</v>
      </c>
      <c r="E26" s="5" t="s">
        <v>110</v>
      </c>
      <c r="F26" s="5" t="s">
        <v>14</v>
      </c>
      <c r="G26" s="5" t="s">
        <v>15</v>
      </c>
    </row>
    <row r="27" spans="1:7" ht="42" x14ac:dyDescent="0.2">
      <c r="A27" s="4" t="s">
        <v>111</v>
      </c>
      <c r="B27" s="5" t="s">
        <v>112</v>
      </c>
      <c r="C27" s="4" t="s">
        <v>51</v>
      </c>
      <c r="D27" s="6" t="s">
        <v>113</v>
      </c>
      <c r="E27" s="5" t="s">
        <v>114</v>
      </c>
      <c r="F27" s="5" t="s">
        <v>14</v>
      </c>
      <c r="G27" s="5" t="s">
        <v>15</v>
      </c>
    </row>
    <row r="28" spans="1:7" ht="28" x14ac:dyDescent="0.2">
      <c r="A28" s="4" t="s">
        <v>115</v>
      </c>
      <c r="B28" s="5" t="s">
        <v>116</v>
      </c>
      <c r="C28" s="4" t="s">
        <v>51</v>
      </c>
      <c r="D28" s="6" t="s">
        <v>117</v>
      </c>
      <c r="E28" s="5" t="s">
        <v>118</v>
      </c>
      <c r="F28" s="5" t="s">
        <v>14</v>
      </c>
      <c r="G28" s="5" t="s">
        <v>15</v>
      </c>
    </row>
    <row r="29" spans="1:7" ht="56" x14ac:dyDescent="0.2">
      <c r="A29" s="4" t="s">
        <v>119</v>
      </c>
      <c r="B29" s="5" t="s">
        <v>120</v>
      </c>
      <c r="C29" s="4" t="s">
        <v>11</v>
      </c>
      <c r="D29" s="6" t="s">
        <v>121</v>
      </c>
      <c r="E29" s="5" t="s">
        <v>122</v>
      </c>
      <c r="F29" s="5" t="s">
        <v>14</v>
      </c>
      <c r="G29" s="5" t="s">
        <v>15</v>
      </c>
    </row>
    <row r="30" spans="1:7" ht="28" x14ac:dyDescent="0.2">
      <c r="A30" s="4" t="s">
        <v>123</v>
      </c>
      <c r="B30" s="5" t="s">
        <v>124</v>
      </c>
      <c r="C30" s="4" t="s">
        <v>11</v>
      </c>
      <c r="D30" s="6" t="s">
        <v>125</v>
      </c>
      <c r="E30" s="5" t="s">
        <v>126</v>
      </c>
      <c r="F30" s="5" t="s">
        <v>14</v>
      </c>
      <c r="G30" s="5" t="s">
        <v>15</v>
      </c>
    </row>
    <row r="31" spans="1:7" ht="42" x14ac:dyDescent="0.2">
      <c r="A31" s="4" t="s">
        <v>127</v>
      </c>
      <c r="B31" s="5" t="s">
        <v>128</v>
      </c>
      <c r="C31" s="4" t="s">
        <v>11</v>
      </c>
      <c r="D31" s="6" t="s">
        <v>129</v>
      </c>
      <c r="E31" s="5" t="s">
        <v>130</v>
      </c>
      <c r="F31" s="5" t="s">
        <v>14</v>
      </c>
      <c r="G31" s="5" t="s">
        <v>131</v>
      </c>
    </row>
    <row r="32" spans="1:7" ht="42" x14ac:dyDescent="0.2">
      <c r="A32" s="4" t="s">
        <v>132</v>
      </c>
      <c r="B32" s="5" t="s">
        <v>133</v>
      </c>
      <c r="C32" s="4" t="s">
        <v>51</v>
      </c>
      <c r="D32" s="6" t="s">
        <v>134</v>
      </c>
      <c r="E32" s="5" t="s">
        <v>135</v>
      </c>
      <c r="F32" s="5" t="s">
        <v>14</v>
      </c>
      <c r="G32" s="5" t="s">
        <v>131</v>
      </c>
    </row>
    <row r="33" spans="1:7" ht="28" x14ac:dyDescent="0.2">
      <c r="A33" s="4" t="s">
        <v>136</v>
      </c>
      <c r="B33" s="5" t="s">
        <v>137</v>
      </c>
      <c r="C33" s="4" t="s">
        <v>11</v>
      </c>
      <c r="D33" s="6" t="s">
        <v>138</v>
      </c>
      <c r="E33" s="5" t="s">
        <v>139</v>
      </c>
      <c r="F33" s="5" t="s">
        <v>14</v>
      </c>
      <c r="G33" s="5" t="s">
        <v>131</v>
      </c>
    </row>
    <row r="34" spans="1:7" ht="28" x14ac:dyDescent="0.2">
      <c r="A34" s="4" t="s">
        <v>140</v>
      </c>
      <c r="B34" s="5" t="s">
        <v>141</v>
      </c>
      <c r="C34" s="4" t="s">
        <v>51</v>
      </c>
      <c r="D34" s="6" t="s">
        <v>142</v>
      </c>
      <c r="E34" s="5" t="s">
        <v>143</v>
      </c>
      <c r="F34" s="5" t="s">
        <v>14</v>
      </c>
      <c r="G34" s="5" t="s">
        <v>131</v>
      </c>
    </row>
    <row r="35" spans="1:7" ht="42" x14ac:dyDescent="0.2">
      <c r="A35" s="4" t="s">
        <v>144</v>
      </c>
      <c r="B35" s="5" t="s">
        <v>145</v>
      </c>
      <c r="C35" s="4" t="s">
        <v>51</v>
      </c>
      <c r="D35" s="6" t="s">
        <v>138</v>
      </c>
      <c r="E35" s="5" t="s">
        <v>146</v>
      </c>
      <c r="F35" s="5" t="s">
        <v>14</v>
      </c>
      <c r="G35" s="5" t="s">
        <v>131</v>
      </c>
    </row>
    <row r="36" spans="1:7" ht="42" x14ac:dyDescent="0.2">
      <c r="A36" s="4" t="s">
        <v>147</v>
      </c>
      <c r="B36" s="5" t="s">
        <v>148</v>
      </c>
      <c r="C36" s="4" t="s">
        <v>96</v>
      </c>
      <c r="D36" s="6" t="s">
        <v>138</v>
      </c>
      <c r="E36" s="5" t="s">
        <v>149</v>
      </c>
      <c r="F36" s="5" t="s">
        <v>14</v>
      </c>
      <c r="G36" s="5" t="s">
        <v>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0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38" customWidth="1"/>
    <col min="3" max="3" width="20" customWidth="1"/>
    <col min="4" max="4" width="7" customWidth="1"/>
    <col min="5" max="5" width="26" customWidth="1"/>
    <col min="6" max="7" width="11" customWidth="1"/>
    <col min="8" max="8" width="13" customWidth="1"/>
    <col min="9" max="9" width="62" customWidth="1"/>
  </cols>
  <sheetData>
    <row r="1" spans="1:9" ht="17" x14ac:dyDescent="0.2">
      <c r="A1" s="1" t="s">
        <v>150</v>
      </c>
    </row>
    <row r="2" spans="1:9" x14ac:dyDescent="0.2">
      <c r="A2" s="2" t="s">
        <v>151</v>
      </c>
    </row>
    <row r="4" spans="1:9" ht="30" customHeight="1" x14ac:dyDescent="0.2">
      <c r="A4" s="3" t="s">
        <v>152</v>
      </c>
      <c r="B4" s="3" t="s">
        <v>153</v>
      </c>
      <c r="C4" s="3" t="s">
        <v>154</v>
      </c>
      <c r="D4" s="3" t="s">
        <v>2</v>
      </c>
      <c r="E4" s="3" t="s">
        <v>155</v>
      </c>
      <c r="F4" s="3" t="s">
        <v>156</v>
      </c>
      <c r="G4" s="3" t="s">
        <v>157</v>
      </c>
      <c r="H4" s="3" t="s">
        <v>158</v>
      </c>
      <c r="I4" s="3" t="s">
        <v>159</v>
      </c>
    </row>
    <row r="5" spans="1:9" x14ac:dyDescent="0.2">
      <c r="A5" s="7" t="s">
        <v>160</v>
      </c>
      <c r="B5" s="7" t="s">
        <v>161</v>
      </c>
      <c r="C5" s="7" t="s">
        <v>162</v>
      </c>
      <c r="D5" s="8" t="s">
        <v>22</v>
      </c>
      <c r="E5" s="7" t="s">
        <v>163</v>
      </c>
      <c r="F5" s="8">
        <v>1</v>
      </c>
      <c r="G5" s="8">
        <v>0</v>
      </c>
      <c r="H5" s="7"/>
      <c r="I5" s="7" t="s">
        <v>164</v>
      </c>
    </row>
    <row r="6" spans="1:9" ht="28" x14ac:dyDescent="0.2">
      <c r="A6" s="7" t="s">
        <v>160</v>
      </c>
      <c r="B6" s="7" t="s">
        <v>161</v>
      </c>
      <c r="C6" s="7" t="s">
        <v>162</v>
      </c>
      <c r="D6" s="8" t="s">
        <v>45</v>
      </c>
      <c r="E6" s="7" t="s">
        <v>165</v>
      </c>
      <c r="F6" s="8">
        <v>1</v>
      </c>
      <c r="G6" s="8">
        <v>1</v>
      </c>
      <c r="H6" s="7"/>
      <c r="I6" s="7" t="s">
        <v>166</v>
      </c>
    </row>
    <row r="7" spans="1:9" x14ac:dyDescent="0.2">
      <c r="A7" s="7" t="s">
        <v>160</v>
      </c>
      <c r="B7" s="7" t="s">
        <v>161</v>
      </c>
      <c r="C7" s="7" t="s">
        <v>162</v>
      </c>
      <c r="D7" s="8" t="s">
        <v>49</v>
      </c>
      <c r="E7" s="7" t="s">
        <v>167</v>
      </c>
      <c r="F7" s="8">
        <v>0</v>
      </c>
      <c r="G7" s="8">
        <v>0</v>
      </c>
      <c r="H7" s="7" t="s">
        <v>168</v>
      </c>
      <c r="I7" s="7" t="s">
        <v>169</v>
      </c>
    </row>
    <row r="8" spans="1:9" x14ac:dyDescent="0.2">
      <c r="A8" s="7" t="s">
        <v>170</v>
      </c>
      <c r="B8" s="7" t="s">
        <v>171</v>
      </c>
      <c r="C8" s="7" t="s">
        <v>172</v>
      </c>
      <c r="D8" s="8" t="s">
        <v>22</v>
      </c>
      <c r="E8" s="7" t="s">
        <v>163</v>
      </c>
      <c r="F8" s="8">
        <v>1</v>
      </c>
      <c r="G8" s="8">
        <v>0</v>
      </c>
      <c r="H8" s="7"/>
      <c r="I8" s="7" t="s">
        <v>173</v>
      </c>
    </row>
    <row r="9" spans="1:9" x14ac:dyDescent="0.2">
      <c r="A9" s="7" t="s">
        <v>170</v>
      </c>
      <c r="B9" s="7" t="s">
        <v>171</v>
      </c>
      <c r="C9" s="7" t="s">
        <v>172</v>
      </c>
      <c r="D9" s="8" t="s">
        <v>45</v>
      </c>
      <c r="E9" s="7" t="s">
        <v>165</v>
      </c>
      <c r="F9" s="8">
        <v>1</v>
      </c>
      <c r="G9" s="8">
        <v>1</v>
      </c>
      <c r="H9" s="7"/>
      <c r="I9" s="7"/>
    </row>
    <row r="10" spans="1:9" ht="28" x14ac:dyDescent="0.2">
      <c r="A10" s="7" t="s">
        <v>170</v>
      </c>
      <c r="B10" s="7" t="s">
        <v>171</v>
      </c>
      <c r="C10" s="7" t="s">
        <v>172</v>
      </c>
      <c r="D10" s="8" t="s">
        <v>49</v>
      </c>
      <c r="E10" s="7" t="s">
        <v>167</v>
      </c>
      <c r="F10" s="8">
        <v>0</v>
      </c>
      <c r="G10" s="8">
        <v>0</v>
      </c>
      <c r="H10" s="7" t="s">
        <v>168</v>
      </c>
      <c r="I10" s="7" t="s">
        <v>174</v>
      </c>
    </row>
    <row r="11" spans="1:9" x14ac:dyDescent="0.2">
      <c r="A11" s="7" t="s">
        <v>175</v>
      </c>
      <c r="B11" s="7" t="s">
        <v>176</v>
      </c>
      <c r="C11" s="7" t="s">
        <v>172</v>
      </c>
      <c r="D11" s="8" t="s">
        <v>35</v>
      </c>
      <c r="E11" s="7" t="s">
        <v>177</v>
      </c>
      <c r="F11" s="8">
        <v>0</v>
      </c>
      <c r="G11" s="8">
        <v>0</v>
      </c>
      <c r="H11" s="7" t="s">
        <v>168</v>
      </c>
      <c r="I11" s="7" t="s">
        <v>178</v>
      </c>
    </row>
    <row r="12" spans="1:9" x14ac:dyDescent="0.2">
      <c r="A12" s="7" t="s">
        <v>175</v>
      </c>
      <c r="B12" s="7" t="s">
        <v>176</v>
      </c>
      <c r="C12" s="7" t="s">
        <v>172</v>
      </c>
      <c r="D12" s="8" t="s">
        <v>22</v>
      </c>
      <c r="E12" s="7" t="s">
        <v>163</v>
      </c>
      <c r="F12" s="8">
        <v>1</v>
      </c>
      <c r="G12" s="8">
        <v>0</v>
      </c>
      <c r="H12" s="7"/>
      <c r="I12" s="7"/>
    </row>
    <row r="13" spans="1:9" x14ac:dyDescent="0.2">
      <c r="A13" s="7" t="s">
        <v>175</v>
      </c>
      <c r="B13" s="7" t="s">
        <v>176</v>
      </c>
      <c r="C13" s="7" t="s">
        <v>172</v>
      </c>
      <c r="D13" s="8" t="s">
        <v>45</v>
      </c>
      <c r="E13" s="7" t="s">
        <v>165</v>
      </c>
      <c r="F13" s="8">
        <v>1</v>
      </c>
      <c r="G13" s="8">
        <v>1</v>
      </c>
      <c r="H13" s="7"/>
      <c r="I13" s="7"/>
    </row>
    <row r="14" spans="1:9" x14ac:dyDescent="0.2">
      <c r="A14" s="7" t="s">
        <v>175</v>
      </c>
      <c r="B14" s="7" t="s">
        <v>176</v>
      </c>
      <c r="C14" s="7" t="s">
        <v>172</v>
      </c>
      <c r="D14" s="8" t="s">
        <v>49</v>
      </c>
      <c r="E14" s="7" t="s">
        <v>167</v>
      </c>
      <c r="F14" s="8">
        <v>0</v>
      </c>
      <c r="G14" s="8">
        <v>0</v>
      </c>
      <c r="H14" s="7" t="s">
        <v>168</v>
      </c>
      <c r="I14" s="7" t="s">
        <v>179</v>
      </c>
    </row>
    <row r="15" spans="1:9" x14ac:dyDescent="0.2">
      <c r="A15" s="7" t="s">
        <v>180</v>
      </c>
      <c r="B15" s="7" t="s">
        <v>181</v>
      </c>
      <c r="C15" s="7" t="s">
        <v>172</v>
      </c>
      <c r="D15" s="8" t="s">
        <v>49</v>
      </c>
      <c r="E15" s="7" t="s">
        <v>167</v>
      </c>
      <c r="F15" s="8">
        <v>1</v>
      </c>
      <c r="G15" s="8">
        <v>1</v>
      </c>
      <c r="H15" s="7"/>
      <c r="I15" s="7" t="s">
        <v>182</v>
      </c>
    </row>
    <row r="16" spans="1:9" x14ac:dyDescent="0.2">
      <c r="A16" s="7" t="s">
        <v>183</v>
      </c>
      <c r="B16" s="7" t="s">
        <v>184</v>
      </c>
      <c r="C16" s="7" t="s">
        <v>172</v>
      </c>
      <c r="D16" s="8" t="s">
        <v>22</v>
      </c>
      <c r="E16" s="7" t="s">
        <v>163</v>
      </c>
      <c r="F16" s="8">
        <v>1</v>
      </c>
      <c r="G16" s="8">
        <v>0</v>
      </c>
      <c r="H16" s="7"/>
      <c r="I16" s="7" t="s">
        <v>185</v>
      </c>
    </row>
    <row r="17" spans="1:9" x14ac:dyDescent="0.2">
      <c r="A17" s="7" t="s">
        <v>183</v>
      </c>
      <c r="B17" s="7" t="s">
        <v>184</v>
      </c>
      <c r="C17" s="7" t="s">
        <v>172</v>
      </c>
      <c r="D17" s="8" t="s">
        <v>45</v>
      </c>
      <c r="E17" s="7" t="s">
        <v>165</v>
      </c>
      <c r="F17" s="8">
        <v>1</v>
      </c>
      <c r="G17" s="8">
        <v>1</v>
      </c>
      <c r="H17" s="7"/>
      <c r="I17" s="7"/>
    </row>
    <row r="18" spans="1:9" x14ac:dyDescent="0.2">
      <c r="A18" s="7" t="s">
        <v>183</v>
      </c>
      <c r="B18" s="7" t="s">
        <v>184</v>
      </c>
      <c r="C18" s="7" t="s">
        <v>172</v>
      </c>
      <c r="D18" s="8" t="s">
        <v>49</v>
      </c>
      <c r="E18" s="7" t="s">
        <v>167</v>
      </c>
      <c r="F18" s="8">
        <v>0</v>
      </c>
      <c r="G18" s="8">
        <v>0</v>
      </c>
      <c r="H18" s="7" t="s">
        <v>168</v>
      </c>
      <c r="I18" s="7"/>
    </row>
    <row r="19" spans="1:9" x14ac:dyDescent="0.2">
      <c r="A19" s="7" t="s">
        <v>186</v>
      </c>
      <c r="B19" s="7" t="s">
        <v>187</v>
      </c>
      <c r="C19" s="7" t="s">
        <v>172</v>
      </c>
      <c r="D19" s="8" t="s">
        <v>22</v>
      </c>
      <c r="E19" s="7" t="s">
        <v>163</v>
      </c>
      <c r="F19" s="8">
        <v>1</v>
      </c>
      <c r="G19" s="8">
        <v>0</v>
      </c>
      <c r="H19" s="7"/>
      <c r="I19" s="7"/>
    </row>
    <row r="20" spans="1:9" x14ac:dyDescent="0.2">
      <c r="A20" s="7" t="s">
        <v>186</v>
      </c>
      <c r="B20" s="7" t="s">
        <v>187</v>
      </c>
      <c r="C20" s="7" t="s">
        <v>172</v>
      </c>
      <c r="D20" s="8" t="s">
        <v>45</v>
      </c>
      <c r="E20" s="7" t="s">
        <v>165</v>
      </c>
      <c r="F20" s="8">
        <v>1</v>
      </c>
      <c r="G20" s="8">
        <v>1</v>
      </c>
      <c r="H20" s="7"/>
      <c r="I20" s="7"/>
    </row>
    <row r="21" spans="1:9" x14ac:dyDescent="0.2">
      <c r="A21" s="7" t="s">
        <v>186</v>
      </c>
      <c r="B21" s="7" t="s">
        <v>187</v>
      </c>
      <c r="C21" s="7" t="s">
        <v>172</v>
      </c>
      <c r="D21" s="8" t="s">
        <v>49</v>
      </c>
      <c r="E21" s="7" t="s">
        <v>167</v>
      </c>
      <c r="F21" s="8">
        <v>0</v>
      </c>
      <c r="G21" s="8">
        <v>0</v>
      </c>
      <c r="H21" s="7" t="s">
        <v>168</v>
      </c>
      <c r="I21" s="7"/>
    </row>
    <row r="22" spans="1:9" x14ac:dyDescent="0.2">
      <c r="A22" s="7" t="s">
        <v>188</v>
      </c>
      <c r="B22" s="7" t="s">
        <v>189</v>
      </c>
      <c r="C22" s="7" t="s">
        <v>172</v>
      </c>
      <c r="D22" s="8" t="s">
        <v>22</v>
      </c>
      <c r="E22" s="7" t="s">
        <v>163</v>
      </c>
      <c r="F22" s="8">
        <v>1</v>
      </c>
      <c r="G22" s="8">
        <v>0</v>
      </c>
      <c r="H22" s="7"/>
      <c r="I22" s="7"/>
    </row>
    <row r="23" spans="1:9" x14ac:dyDescent="0.2">
      <c r="A23" s="7" t="s">
        <v>188</v>
      </c>
      <c r="B23" s="7" t="s">
        <v>189</v>
      </c>
      <c r="C23" s="7" t="s">
        <v>172</v>
      </c>
      <c r="D23" s="8" t="s">
        <v>45</v>
      </c>
      <c r="E23" s="7" t="s">
        <v>165</v>
      </c>
      <c r="F23" s="8">
        <v>1</v>
      </c>
      <c r="G23" s="8">
        <v>1</v>
      </c>
      <c r="H23" s="7"/>
      <c r="I23" s="7" t="s">
        <v>190</v>
      </c>
    </row>
    <row r="24" spans="1:9" x14ac:dyDescent="0.2">
      <c r="A24" s="7" t="s">
        <v>188</v>
      </c>
      <c r="B24" s="7" t="s">
        <v>189</v>
      </c>
      <c r="C24" s="7" t="s">
        <v>172</v>
      </c>
      <c r="D24" s="8" t="s">
        <v>49</v>
      </c>
      <c r="E24" s="7" t="s">
        <v>167</v>
      </c>
      <c r="F24" s="8">
        <v>0</v>
      </c>
      <c r="G24" s="8">
        <v>0</v>
      </c>
      <c r="H24" s="7" t="s">
        <v>168</v>
      </c>
      <c r="I24" s="7"/>
    </row>
    <row r="25" spans="1:9" x14ac:dyDescent="0.2">
      <c r="A25" s="7" t="s">
        <v>191</v>
      </c>
      <c r="B25" s="7" t="s">
        <v>192</v>
      </c>
      <c r="C25" s="7" t="s">
        <v>193</v>
      </c>
      <c r="D25" s="8" t="s">
        <v>81</v>
      </c>
      <c r="E25" s="7" t="s">
        <v>194</v>
      </c>
      <c r="F25" s="8">
        <v>1</v>
      </c>
      <c r="G25" s="8">
        <v>1</v>
      </c>
      <c r="H25" s="7"/>
      <c r="I25" s="7" t="s">
        <v>195</v>
      </c>
    </row>
    <row r="26" spans="1:9" x14ac:dyDescent="0.2">
      <c r="A26" s="7" t="s">
        <v>191</v>
      </c>
      <c r="B26" s="7" t="s">
        <v>192</v>
      </c>
      <c r="C26" s="7" t="s">
        <v>193</v>
      </c>
      <c r="D26" s="8" t="s">
        <v>73</v>
      </c>
      <c r="E26" s="7" t="s">
        <v>196</v>
      </c>
      <c r="F26" s="8">
        <v>1</v>
      </c>
      <c r="G26" s="8">
        <v>1</v>
      </c>
      <c r="H26" s="7" t="s">
        <v>197</v>
      </c>
      <c r="I26" s="7" t="s">
        <v>198</v>
      </c>
    </row>
    <row r="27" spans="1:9" x14ac:dyDescent="0.2">
      <c r="A27" s="7" t="s">
        <v>191</v>
      </c>
      <c r="B27" s="7" t="s">
        <v>192</v>
      </c>
      <c r="C27" s="7" t="s">
        <v>193</v>
      </c>
      <c r="D27" s="8" t="s">
        <v>77</v>
      </c>
      <c r="E27" s="7" t="s">
        <v>199</v>
      </c>
      <c r="F27" s="8">
        <v>1</v>
      </c>
      <c r="G27" s="8">
        <v>1</v>
      </c>
      <c r="H27" s="7"/>
      <c r="I27" s="7"/>
    </row>
    <row r="28" spans="1:9" x14ac:dyDescent="0.2">
      <c r="A28" s="7" t="s">
        <v>200</v>
      </c>
      <c r="B28" s="7" t="s">
        <v>201</v>
      </c>
      <c r="C28" s="7" t="s">
        <v>162</v>
      </c>
      <c r="D28" s="8" t="s">
        <v>53</v>
      </c>
      <c r="E28" s="7" t="s">
        <v>202</v>
      </c>
      <c r="F28" s="8">
        <v>1</v>
      </c>
      <c r="G28" s="8">
        <v>0</v>
      </c>
      <c r="H28" s="7" t="s">
        <v>168</v>
      </c>
      <c r="I28" s="7" t="s">
        <v>203</v>
      </c>
    </row>
    <row r="29" spans="1:9" x14ac:dyDescent="0.2">
      <c r="A29" s="7" t="s">
        <v>204</v>
      </c>
      <c r="B29" s="7" t="s">
        <v>205</v>
      </c>
      <c r="C29" s="7" t="s">
        <v>162</v>
      </c>
      <c r="D29" s="8" t="s">
        <v>59</v>
      </c>
      <c r="E29" s="7" t="s">
        <v>206</v>
      </c>
      <c r="F29" s="8">
        <v>1</v>
      </c>
      <c r="G29" s="8">
        <v>1</v>
      </c>
      <c r="H29" s="7"/>
      <c r="I29" s="7" t="s">
        <v>207</v>
      </c>
    </row>
    <row r="30" spans="1:9" x14ac:dyDescent="0.2">
      <c r="A30" s="7" t="s">
        <v>208</v>
      </c>
      <c r="B30" s="7" t="s">
        <v>209</v>
      </c>
      <c r="C30" s="7" t="s">
        <v>210</v>
      </c>
      <c r="D30" s="8" t="s">
        <v>64</v>
      </c>
      <c r="E30" s="7" t="s">
        <v>211</v>
      </c>
      <c r="F30" s="8">
        <v>1</v>
      </c>
      <c r="G30" s="8">
        <v>1</v>
      </c>
      <c r="H30" s="7"/>
      <c r="I30" s="7" t="s">
        <v>212</v>
      </c>
    </row>
    <row r="31" spans="1:9" x14ac:dyDescent="0.2">
      <c r="A31" s="7" t="s">
        <v>213</v>
      </c>
      <c r="B31" s="7" t="s">
        <v>209</v>
      </c>
      <c r="C31" s="7" t="s">
        <v>210</v>
      </c>
      <c r="D31" s="8" t="s">
        <v>68</v>
      </c>
      <c r="E31" s="7" t="s">
        <v>214</v>
      </c>
      <c r="F31" s="8">
        <v>1</v>
      </c>
      <c r="G31" s="8">
        <v>1</v>
      </c>
      <c r="H31" s="7"/>
      <c r="I31" s="7"/>
    </row>
    <row r="32" spans="1:9" x14ac:dyDescent="0.2">
      <c r="A32" s="7" t="s">
        <v>213</v>
      </c>
      <c r="B32" s="7" t="s">
        <v>209</v>
      </c>
      <c r="C32" s="7" t="s">
        <v>210</v>
      </c>
      <c r="D32" s="8" t="s">
        <v>73</v>
      </c>
      <c r="E32" s="7" t="s">
        <v>196</v>
      </c>
      <c r="F32" s="8">
        <v>1</v>
      </c>
      <c r="G32" s="8">
        <v>1</v>
      </c>
      <c r="H32" s="7" t="s">
        <v>197</v>
      </c>
      <c r="I32" s="7" t="s">
        <v>215</v>
      </c>
    </row>
    <row r="33" spans="1:9" x14ac:dyDescent="0.2">
      <c r="A33" s="7" t="s">
        <v>213</v>
      </c>
      <c r="B33" s="7" t="s">
        <v>209</v>
      </c>
      <c r="C33" s="7" t="s">
        <v>210</v>
      </c>
      <c r="D33" s="8" t="s">
        <v>77</v>
      </c>
      <c r="E33" s="7" t="s">
        <v>199</v>
      </c>
      <c r="F33" s="8">
        <v>1</v>
      </c>
      <c r="G33" s="8">
        <v>1</v>
      </c>
      <c r="H33" s="7"/>
      <c r="I33" s="7"/>
    </row>
    <row r="34" spans="1:9" x14ac:dyDescent="0.2">
      <c r="A34" s="7" t="s">
        <v>216</v>
      </c>
      <c r="B34" s="7" t="s">
        <v>217</v>
      </c>
      <c r="C34" s="7" t="s">
        <v>172</v>
      </c>
      <c r="D34" s="8" t="s">
        <v>49</v>
      </c>
      <c r="E34" s="7" t="s">
        <v>167</v>
      </c>
      <c r="F34" s="8">
        <v>0</v>
      </c>
      <c r="G34" s="8">
        <v>0</v>
      </c>
      <c r="H34" s="7" t="s">
        <v>168</v>
      </c>
      <c r="I34" s="7" t="s">
        <v>218</v>
      </c>
    </row>
    <row r="35" spans="1:9" x14ac:dyDescent="0.2">
      <c r="A35" s="7" t="s">
        <v>219</v>
      </c>
      <c r="B35" s="7" t="s">
        <v>220</v>
      </c>
      <c r="C35" s="7" t="s">
        <v>221</v>
      </c>
      <c r="D35" s="8" t="s">
        <v>136</v>
      </c>
      <c r="E35" s="7" t="s">
        <v>222</v>
      </c>
      <c r="F35" s="8">
        <v>1</v>
      </c>
      <c r="G35" s="8">
        <v>1</v>
      </c>
      <c r="H35" s="7"/>
      <c r="I35" s="7" t="s">
        <v>223</v>
      </c>
    </row>
    <row r="36" spans="1:9" x14ac:dyDescent="0.2">
      <c r="A36" s="7" t="s">
        <v>219</v>
      </c>
      <c r="B36" s="7" t="s">
        <v>220</v>
      </c>
      <c r="C36" s="7" t="s">
        <v>221</v>
      </c>
      <c r="D36" s="8" t="s">
        <v>140</v>
      </c>
      <c r="E36" s="7" t="s">
        <v>224</v>
      </c>
      <c r="F36" s="8">
        <v>0</v>
      </c>
      <c r="G36" s="8">
        <v>0</v>
      </c>
      <c r="H36" s="7" t="s">
        <v>168</v>
      </c>
      <c r="I36" s="7" t="s">
        <v>225</v>
      </c>
    </row>
    <row r="37" spans="1:9" ht="28" x14ac:dyDescent="0.2">
      <c r="A37" s="7" t="s">
        <v>219</v>
      </c>
      <c r="B37" s="7" t="s">
        <v>220</v>
      </c>
      <c r="C37" s="7" t="s">
        <v>221</v>
      </c>
      <c r="D37" s="8" t="s">
        <v>144</v>
      </c>
      <c r="E37" s="7" t="s">
        <v>226</v>
      </c>
      <c r="F37" s="8">
        <v>0</v>
      </c>
      <c r="G37" s="8">
        <v>0</v>
      </c>
      <c r="H37" s="7" t="s">
        <v>168</v>
      </c>
      <c r="I37" s="7" t="s">
        <v>227</v>
      </c>
    </row>
    <row r="38" spans="1:9" x14ac:dyDescent="0.2">
      <c r="A38" s="7" t="s">
        <v>228</v>
      </c>
      <c r="B38" s="7" t="s">
        <v>229</v>
      </c>
      <c r="C38" s="7" t="s">
        <v>230</v>
      </c>
      <c r="D38" s="8" t="s">
        <v>136</v>
      </c>
      <c r="E38" s="7" t="s">
        <v>222</v>
      </c>
      <c r="F38" s="8">
        <v>1</v>
      </c>
      <c r="G38" s="8">
        <v>1</v>
      </c>
      <c r="H38" s="7"/>
      <c r="I38" s="7" t="s">
        <v>231</v>
      </c>
    </row>
    <row r="39" spans="1:9" x14ac:dyDescent="0.2">
      <c r="A39" s="7" t="s">
        <v>228</v>
      </c>
      <c r="B39" s="7" t="s">
        <v>229</v>
      </c>
      <c r="C39" s="7" t="s">
        <v>230</v>
      </c>
      <c r="D39" s="8" t="s">
        <v>144</v>
      </c>
      <c r="E39" s="7" t="s">
        <v>226</v>
      </c>
      <c r="F39" s="8">
        <v>1</v>
      </c>
      <c r="G39" s="8">
        <v>1</v>
      </c>
      <c r="H39" s="7"/>
      <c r="I39" s="7" t="s">
        <v>232</v>
      </c>
    </row>
    <row r="40" spans="1:9" x14ac:dyDescent="0.2">
      <c r="A40" s="7" t="s">
        <v>233</v>
      </c>
      <c r="B40" s="7" t="s">
        <v>234</v>
      </c>
      <c r="C40" s="7" t="s">
        <v>221</v>
      </c>
      <c r="D40" s="8" t="s">
        <v>144</v>
      </c>
      <c r="E40" s="7" t="s">
        <v>226</v>
      </c>
      <c r="F40" s="8">
        <v>1</v>
      </c>
      <c r="G40" s="8">
        <v>1</v>
      </c>
      <c r="H40" s="7"/>
      <c r="I40" s="7"/>
    </row>
    <row r="41" spans="1:9" ht="28" x14ac:dyDescent="0.2">
      <c r="A41" s="7" t="s">
        <v>235</v>
      </c>
      <c r="B41" s="7" t="s">
        <v>236</v>
      </c>
      <c r="C41" s="7" t="s">
        <v>221</v>
      </c>
      <c r="D41" s="8" t="s">
        <v>136</v>
      </c>
      <c r="E41" s="7" t="s">
        <v>222</v>
      </c>
      <c r="F41" s="8">
        <v>1</v>
      </c>
      <c r="G41" s="8">
        <v>1</v>
      </c>
      <c r="H41" s="7"/>
      <c r="I41" s="7" t="s">
        <v>237</v>
      </c>
    </row>
    <row r="42" spans="1:9" ht="28" x14ac:dyDescent="0.2">
      <c r="A42" s="7" t="s">
        <v>235</v>
      </c>
      <c r="B42" s="7" t="s">
        <v>236</v>
      </c>
      <c r="C42" s="7" t="s">
        <v>221</v>
      </c>
      <c r="D42" s="8" t="s">
        <v>147</v>
      </c>
      <c r="E42" s="7" t="s">
        <v>238</v>
      </c>
      <c r="F42" s="8">
        <v>0</v>
      </c>
      <c r="G42" s="8">
        <v>0</v>
      </c>
      <c r="H42" s="7" t="s">
        <v>168</v>
      </c>
      <c r="I42" s="7" t="s">
        <v>239</v>
      </c>
    </row>
    <row r="43" spans="1:9" x14ac:dyDescent="0.2">
      <c r="A43" s="7" t="s">
        <v>235</v>
      </c>
      <c r="B43" s="7" t="s">
        <v>236</v>
      </c>
      <c r="C43" s="7" t="s">
        <v>221</v>
      </c>
      <c r="D43" s="8" t="s">
        <v>140</v>
      </c>
      <c r="E43" s="7" t="s">
        <v>224</v>
      </c>
      <c r="F43" s="8">
        <v>0</v>
      </c>
      <c r="G43" s="8">
        <v>0</v>
      </c>
      <c r="H43" s="7" t="s">
        <v>168</v>
      </c>
      <c r="I43" s="7" t="s">
        <v>240</v>
      </c>
    </row>
    <row r="44" spans="1:9" x14ac:dyDescent="0.2">
      <c r="A44" s="5" t="s">
        <v>241</v>
      </c>
      <c r="B44" s="5" t="s">
        <v>242</v>
      </c>
      <c r="C44" s="5" t="s">
        <v>243</v>
      </c>
      <c r="D44" s="4" t="s">
        <v>9</v>
      </c>
      <c r="E44" s="5" t="s">
        <v>244</v>
      </c>
      <c r="F44" s="4">
        <v>1</v>
      </c>
      <c r="G44" s="4">
        <v>1</v>
      </c>
      <c r="H44" s="5"/>
      <c r="I44" s="5" t="s">
        <v>245</v>
      </c>
    </row>
    <row r="45" spans="1:9" ht="28" x14ac:dyDescent="0.2">
      <c r="A45" s="5" t="s">
        <v>246</v>
      </c>
      <c r="B45" s="5" t="s">
        <v>247</v>
      </c>
      <c r="C45" s="5" t="s">
        <v>248</v>
      </c>
      <c r="D45" s="4" t="s">
        <v>45</v>
      </c>
      <c r="E45" s="5" t="s">
        <v>165</v>
      </c>
      <c r="F45" s="4">
        <v>1</v>
      </c>
      <c r="G45" s="4">
        <v>1</v>
      </c>
      <c r="H45" s="5" t="s">
        <v>249</v>
      </c>
      <c r="I45" s="5" t="s">
        <v>250</v>
      </c>
    </row>
    <row r="46" spans="1:9" ht="28" x14ac:dyDescent="0.2">
      <c r="A46" s="5" t="s">
        <v>246</v>
      </c>
      <c r="B46" s="5" t="s">
        <v>247</v>
      </c>
      <c r="C46" s="5" t="s">
        <v>248</v>
      </c>
      <c r="D46" s="4" t="s">
        <v>26</v>
      </c>
      <c r="E46" s="5" t="s">
        <v>251</v>
      </c>
      <c r="F46" s="4">
        <v>1</v>
      </c>
      <c r="G46" s="4">
        <v>0</v>
      </c>
      <c r="H46" s="5"/>
      <c r="I46" s="5" t="s">
        <v>252</v>
      </c>
    </row>
    <row r="47" spans="1:9" ht="28" x14ac:dyDescent="0.2">
      <c r="A47" s="5" t="s">
        <v>246</v>
      </c>
      <c r="B47" s="5" t="s">
        <v>247</v>
      </c>
      <c r="C47" s="5" t="s">
        <v>248</v>
      </c>
      <c r="D47" s="4" t="s">
        <v>22</v>
      </c>
      <c r="E47" s="5" t="s">
        <v>163</v>
      </c>
      <c r="F47" s="4">
        <v>1</v>
      </c>
      <c r="G47" s="4">
        <v>0</v>
      </c>
      <c r="H47" s="5"/>
      <c r="I47" s="5" t="s">
        <v>252</v>
      </c>
    </row>
    <row r="48" spans="1:9" ht="28" x14ac:dyDescent="0.2">
      <c r="A48" s="5" t="s">
        <v>246</v>
      </c>
      <c r="B48" s="5" t="s">
        <v>247</v>
      </c>
      <c r="C48" s="5" t="s">
        <v>248</v>
      </c>
      <c r="D48" s="4" t="s">
        <v>16</v>
      </c>
      <c r="E48" s="5" t="s">
        <v>253</v>
      </c>
      <c r="F48" s="4">
        <v>1</v>
      </c>
      <c r="G48" s="4">
        <v>1</v>
      </c>
      <c r="H48" s="5"/>
      <c r="I48" s="5" t="s">
        <v>254</v>
      </c>
    </row>
    <row r="49" spans="1:9" x14ac:dyDescent="0.2">
      <c r="A49" s="5" t="s">
        <v>255</v>
      </c>
      <c r="B49" s="5" t="s">
        <v>256</v>
      </c>
      <c r="C49" s="5" t="s">
        <v>257</v>
      </c>
      <c r="D49" s="4" t="s">
        <v>90</v>
      </c>
      <c r="E49" s="5" t="s">
        <v>258</v>
      </c>
      <c r="F49" s="4">
        <v>1</v>
      </c>
      <c r="G49" s="4">
        <v>1</v>
      </c>
      <c r="H49" s="5"/>
      <c r="I49" s="5" t="s">
        <v>259</v>
      </c>
    </row>
    <row r="50" spans="1:9" x14ac:dyDescent="0.2">
      <c r="A50" s="5" t="s">
        <v>255</v>
      </c>
      <c r="B50" s="5" t="s">
        <v>256</v>
      </c>
      <c r="C50" s="5" t="s">
        <v>257</v>
      </c>
      <c r="D50" s="4" t="s">
        <v>94</v>
      </c>
      <c r="E50" s="5" t="s">
        <v>260</v>
      </c>
      <c r="F50" s="4">
        <v>0</v>
      </c>
      <c r="G50" s="4">
        <v>0</v>
      </c>
      <c r="H50" s="5" t="s">
        <v>261</v>
      </c>
      <c r="I50" s="5" t="s">
        <v>262</v>
      </c>
    </row>
    <row r="51" spans="1:9" x14ac:dyDescent="0.2">
      <c r="A51" s="5" t="s">
        <v>255</v>
      </c>
      <c r="B51" s="5" t="s">
        <v>256</v>
      </c>
      <c r="C51" s="5" t="s">
        <v>257</v>
      </c>
      <c r="D51" s="4" t="s">
        <v>86</v>
      </c>
      <c r="E51" s="5" t="s">
        <v>263</v>
      </c>
      <c r="F51" s="4">
        <v>1</v>
      </c>
      <c r="G51" s="4">
        <v>1</v>
      </c>
      <c r="H51" s="5"/>
      <c r="I51" s="5"/>
    </row>
    <row r="52" spans="1:9" x14ac:dyDescent="0.2">
      <c r="A52" s="5" t="s">
        <v>264</v>
      </c>
      <c r="B52" s="5" t="s">
        <v>265</v>
      </c>
      <c r="C52" s="5" t="s">
        <v>266</v>
      </c>
      <c r="D52" s="4" t="s">
        <v>26</v>
      </c>
      <c r="E52" s="5" t="s">
        <v>251</v>
      </c>
      <c r="F52" s="4">
        <v>1</v>
      </c>
      <c r="G52" s="4">
        <v>0</v>
      </c>
      <c r="H52" s="5"/>
      <c r="I52" s="5"/>
    </row>
    <row r="53" spans="1:9" x14ac:dyDescent="0.2">
      <c r="A53" s="5" t="s">
        <v>264</v>
      </c>
      <c r="B53" s="5" t="s">
        <v>265</v>
      </c>
      <c r="C53" s="5" t="s">
        <v>266</v>
      </c>
      <c r="D53" s="4" t="s">
        <v>22</v>
      </c>
      <c r="E53" s="5" t="s">
        <v>163</v>
      </c>
      <c r="F53" s="4">
        <v>1</v>
      </c>
      <c r="G53" s="4">
        <v>0</v>
      </c>
      <c r="H53" s="5"/>
      <c r="I53" s="5" t="s">
        <v>267</v>
      </c>
    </row>
    <row r="54" spans="1:9" ht="28" x14ac:dyDescent="0.2">
      <c r="A54" s="5" t="s">
        <v>264</v>
      </c>
      <c r="B54" s="5" t="s">
        <v>265</v>
      </c>
      <c r="C54" s="5" t="s">
        <v>266</v>
      </c>
      <c r="D54" s="4" t="s">
        <v>40</v>
      </c>
      <c r="E54" s="5" t="s">
        <v>268</v>
      </c>
      <c r="F54" s="4">
        <v>1</v>
      </c>
      <c r="G54" s="4">
        <v>1</v>
      </c>
      <c r="H54" s="5"/>
      <c r="I54" s="5" t="s">
        <v>269</v>
      </c>
    </row>
    <row r="55" spans="1:9" x14ac:dyDescent="0.2">
      <c r="A55" s="5" t="s">
        <v>270</v>
      </c>
      <c r="B55" s="5" t="s">
        <v>271</v>
      </c>
      <c r="C55" s="5" t="s">
        <v>272</v>
      </c>
      <c r="D55" s="4" t="s">
        <v>107</v>
      </c>
      <c r="E55" s="5" t="s">
        <v>273</v>
      </c>
      <c r="F55" s="4">
        <v>1</v>
      </c>
      <c r="G55" s="4">
        <v>1</v>
      </c>
      <c r="H55" s="5"/>
      <c r="I55" s="5" t="s">
        <v>274</v>
      </c>
    </row>
    <row r="56" spans="1:9" x14ac:dyDescent="0.2">
      <c r="A56" s="5" t="s">
        <v>270</v>
      </c>
      <c r="B56" s="5" t="s">
        <v>271</v>
      </c>
      <c r="C56" s="5" t="s">
        <v>272</v>
      </c>
      <c r="D56" s="4" t="s">
        <v>26</v>
      </c>
      <c r="E56" s="5" t="s">
        <v>251</v>
      </c>
      <c r="F56" s="4">
        <v>1</v>
      </c>
      <c r="G56" s="4">
        <v>0</v>
      </c>
      <c r="H56" s="5"/>
      <c r="I56" s="5"/>
    </row>
    <row r="57" spans="1:9" x14ac:dyDescent="0.2">
      <c r="A57" s="5" t="s">
        <v>275</v>
      </c>
      <c r="B57" s="5" t="s">
        <v>276</v>
      </c>
      <c r="C57" s="5" t="s">
        <v>272</v>
      </c>
      <c r="D57" s="4" t="s">
        <v>107</v>
      </c>
      <c r="E57" s="5" t="s">
        <v>273</v>
      </c>
      <c r="F57" s="4">
        <v>1</v>
      </c>
      <c r="G57" s="4">
        <v>1</v>
      </c>
      <c r="H57" s="5"/>
      <c r="I57" s="5" t="s">
        <v>277</v>
      </c>
    </row>
    <row r="58" spans="1:9" ht="28" x14ac:dyDescent="0.2">
      <c r="A58" s="5" t="s">
        <v>275</v>
      </c>
      <c r="B58" s="5" t="s">
        <v>276</v>
      </c>
      <c r="C58" s="5" t="s">
        <v>272</v>
      </c>
      <c r="D58" s="4" t="s">
        <v>111</v>
      </c>
      <c r="E58" s="5" t="s">
        <v>278</v>
      </c>
      <c r="F58" s="4">
        <v>1</v>
      </c>
      <c r="G58" s="4">
        <v>1</v>
      </c>
      <c r="H58" s="5"/>
      <c r="I58" s="5" t="s">
        <v>279</v>
      </c>
    </row>
    <row r="59" spans="1:9" ht="28" x14ac:dyDescent="0.2">
      <c r="A59" s="5" t="s">
        <v>275</v>
      </c>
      <c r="B59" s="5" t="s">
        <v>276</v>
      </c>
      <c r="C59" s="5" t="s">
        <v>272</v>
      </c>
      <c r="D59" s="4" t="s">
        <v>107</v>
      </c>
      <c r="E59" s="5" t="s">
        <v>280</v>
      </c>
      <c r="F59" s="4">
        <v>1</v>
      </c>
      <c r="G59" s="4">
        <v>1</v>
      </c>
      <c r="H59" s="5" t="s">
        <v>197</v>
      </c>
      <c r="I59" s="5" t="s">
        <v>281</v>
      </c>
    </row>
    <row r="60" spans="1:9" x14ac:dyDescent="0.2">
      <c r="A60" s="5" t="s">
        <v>282</v>
      </c>
      <c r="B60" s="5" t="s">
        <v>283</v>
      </c>
      <c r="C60" s="5" t="s">
        <v>272</v>
      </c>
      <c r="D60" s="4" t="s">
        <v>99</v>
      </c>
      <c r="E60" s="5" t="s">
        <v>284</v>
      </c>
      <c r="F60" s="4">
        <v>1</v>
      </c>
      <c r="G60" s="4">
        <v>0</v>
      </c>
      <c r="H60" s="5"/>
      <c r="I60" s="5" t="s">
        <v>285</v>
      </c>
    </row>
    <row r="61" spans="1:9" x14ac:dyDescent="0.2">
      <c r="A61" s="5" t="s">
        <v>282</v>
      </c>
      <c r="B61" s="5" t="s">
        <v>283</v>
      </c>
      <c r="C61" s="5" t="s">
        <v>272</v>
      </c>
      <c r="D61" s="4" t="s">
        <v>103</v>
      </c>
      <c r="E61" s="5" t="s">
        <v>286</v>
      </c>
      <c r="F61" s="4">
        <v>0</v>
      </c>
      <c r="G61" s="4">
        <v>0</v>
      </c>
      <c r="H61" s="5" t="s">
        <v>168</v>
      </c>
      <c r="I61" s="5" t="s">
        <v>287</v>
      </c>
    </row>
    <row r="62" spans="1:9" x14ac:dyDescent="0.2">
      <c r="A62" s="5" t="s">
        <v>282</v>
      </c>
      <c r="B62" s="5" t="s">
        <v>283</v>
      </c>
      <c r="C62" s="5" t="s">
        <v>272</v>
      </c>
      <c r="D62" s="4" t="s">
        <v>123</v>
      </c>
      <c r="E62" s="5" t="s">
        <v>288</v>
      </c>
      <c r="F62" s="4">
        <v>1</v>
      </c>
      <c r="G62" s="4">
        <v>1</v>
      </c>
      <c r="H62" s="5"/>
      <c r="I62" s="5" t="s">
        <v>289</v>
      </c>
    </row>
    <row r="63" spans="1:9" x14ac:dyDescent="0.2">
      <c r="A63" s="5" t="s">
        <v>282</v>
      </c>
      <c r="B63" s="5" t="s">
        <v>283</v>
      </c>
      <c r="C63" s="5" t="s">
        <v>272</v>
      </c>
      <c r="D63" s="4" t="s">
        <v>115</v>
      </c>
      <c r="E63" s="5" t="s">
        <v>290</v>
      </c>
      <c r="F63" s="4">
        <v>1</v>
      </c>
      <c r="G63" s="4">
        <v>1</v>
      </c>
      <c r="H63" s="5"/>
      <c r="I63" s="5"/>
    </row>
    <row r="64" spans="1:9" ht="28" x14ac:dyDescent="0.2">
      <c r="A64" s="5" t="s">
        <v>291</v>
      </c>
      <c r="B64" s="5" t="s">
        <v>292</v>
      </c>
      <c r="C64" s="5" t="s">
        <v>293</v>
      </c>
      <c r="D64" s="4" t="s">
        <v>107</v>
      </c>
      <c r="E64" s="5" t="s">
        <v>273</v>
      </c>
      <c r="F64" s="4">
        <v>1</v>
      </c>
      <c r="G64" s="4">
        <v>1</v>
      </c>
      <c r="H64" s="5" t="s">
        <v>294</v>
      </c>
      <c r="I64" s="5" t="s">
        <v>295</v>
      </c>
    </row>
    <row r="65" spans="1:9" ht="28" x14ac:dyDescent="0.2">
      <c r="A65" s="5" t="s">
        <v>296</v>
      </c>
      <c r="B65" s="5" t="s">
        <v>297</v>
      </c>
      <c r="C65" s="5" t="s">
        <v>298</v>
      </c>
      <c r="D65" s="4" t="s">
        <v>127</v>
      </c>
      <c r="E65" s="5" t="s">
        <v>299</v>
      </c>
      <c r="F65" s="4">
        <v>1</v>
      </c>
      <c r="G65" s="4">
        <v>1</v>
      </c>
      <c r="H65" s="5" t="s">
        <v>300</v>
      </c>
      <c r="I65" s="5" t="s">
        <v>301</v>
      </c>
    </row>
    <row r="66" spans="1:9" ht="28" x14ac:dyDescent="0.2">
      <c r="A66" s="5" t="s">
        <v>296</v>
      </c>
      <c r="B66" s="5" t="s">
        <v>297</v>
      </c>
      <c r="C66" s="5" t="s">
        <v>298</v>
      </c>
      <c r="D66" s="4" t="s">
        <v>132</v>
      </c>
      <c r="E66" s="5" t="s">
        <v>302</v>
      </c>
      <c r="F66" s="4">
        <v>1</v>
      </c>
      <c r="G66" s="4">
        <v>1</v>
      </c>
      <c r="H66" s="5" t="s">
        <v>300</v>
      </c>
      <c r="I66" s="5" t="s">
        <v>303</v>
      </c>
    </row>
    <row r="67" spans="1:9" ht="28" x14ac:dyDescent="0.2">
      <c r="A67" s="5" t="s">
        <v>296</v>
      </c>
      <c r="B67" s="5" t="s">
        <v>297</v>
      </c>
      <c r="C67" s="5" t="s">
        <v>298</v>
      </c>
      <c r="D67" s="4" t="s">
        <v>136</v>
      </c>
      <c r="E67" s="5" t="s">
        <v>222</v>
      </c>
      <c r="F67" s="4">
        <v>1</v>
      </c>
      <c r="G67" s="4">
        <v>1</v>
      </c>
      <c r="H67" s="5" t="s">
        <v>304</v>
      </c>
      <c r="I67" s="5" t="s">
        <v>305</v>
      </c>
    </row>
    <row r="68" spans="1:9" x14ac:dyDescent="0.2">
      <c r="A68" s="5" t="s">
        <v>306</v>
      </c>
      <c r="B68" s="5" t="s">
        <v>307</v>
      </c>
      <c r="C68" s="5" t="s">
        <v>308</v>
      </c>
      <c r="D68" s="4" t="s">
        <v>15</v>
      </c>
      <c r="E68" s="5" t="s">
        <v>309</v>
      </c>
      <c r="F68" s="4">
        <v>0</v>
      </c>
      <c r="G68" s="4">
        <v>0</v>
      </c>
      <c r="H68" s="5"/>
      <c r="I68" s="5" t="s">
        <v>310</v>
      </c>
    </row>
    <row r="69" spans="1:9" ht="28" x14ac:dyDescent="0.2">
      <c r="A69" s="5" t="s">
        <v>311</v>
      </c>
      <c r="B69" s="5" t="s">
        <v>312</v>
      </c>
      <c r="C69" s="5" t="s">
        <v>308</v>
      </c>
      <c r="D69" s="4" t="s">
        <v>15</v>
      </c>
      <c r="E69" s="5" t="s">
        <v>309</v>
      </c>
      <c r="F69" s="4">
        <v>0</v>
      </c>
      <c r="G69" s="4">
        <v>0</v>
      </c>
      <c r="H69" s="5"/>
      <c r="I69" s="5" t="s">
        <v>313</v>
      </c>
    </row>
    <row r="70" spans="1:9" x14ac:dyDescent="0.2">
      <c r="A70" s="5" t="s">
        <v>314</v>
      </c>
      <c r="B70" s="5" t="s">
        <v>315</v>
      </c>
      <c r="C70" s="5" t="s">
        <v>308</v>
      </c>
      <c r="D70" s="4" t="s">
        <v>15</v>
      </c>
      <c r="E70" s="5" t="s">
        <v>309</v>
      </c>
      <c r="F70" s="4">
        <v>0</v>
      </c>
      <c r="G70" s="4">
        <v>0</v>
      </c>
      <c r="H70" s="5"/>
      <c r="I70" s="5" t="s">
        <v>316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5"/>
  <sheetViews>
    <sheetView tabSelected="1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46" customWidth="1"/>
    <col min="2" max="2" width="26" customWidth="1"/>
    <col min="3" max="4" width="20" customWidth="1"/>
    <col min="5" max="5" width="60" customWidth="1"/>
  </cols>
  <sheetData>
    <row r="1" spans="1:4" ht="17" x14ac:dyDescent="0.2">
      <c r="A1" s="1" t="s">
        <v>317</v>
      </c>
    </row>
    <row r="2" spans="1:4" x14ac:dyDescent="0.2">
      <c r="A2" s="2" t="s">
        <v>318</v>
      </c>
    </row>
    <row r="4" spans="1:4" ht="30" customHeight="1" x14ac:dyDescent="0.2">
      <c r="A4" s="3" t="s">
        <v>152</v>
      </c>
      <c r="B4" s="3" t="s">
        <v>154</v>
      </c>
      <c r="C4" s="3" t="s">
        <v>319</v>
      </c>
      <c r="D4" s="3" t="s">
        <v>320</v>
      </c>
    </row>
    <row r="5" spans="1:4" x14ac:dyDescent="0.2">
      <c r="A5" s="9" t="s">
        <v>321</v>
      </c>
      <c r="B5" s="10"/>
      <c r="C5" s="10"/>
      <c r="D5" s="10"/>
    </row>
    <row r="6" spans="1:4" x14ac:dyDescent="0.2">
      <c r="A6" s="5" t="s">
        <v>160</v>
      </c>
      <c r="B6" s="5" t="s">
        <v>162</v>
      </c>
      <c r="C6" s="11">
        <f>SUMIFS('Calls per Process'!$F$5:$F$70,'Calls per Process'!$A$5:$A$70,$A6)</f>
        <v>2</v>
      </c>
      <c r="D6" s="11">
        <f>SUMIFS('Calls per Process'!$G$5:$G$70,'Calls per Process'!$A$5:$A$70,$A6)</f>
        <v>1</v>
      </c>
    </row>
    <row r="7" spans="1:4" x14ac:dyDescent="0.2">
      <c r="A7" s="5" t="s">
        <v>170</v>
      </c>
      <c r="B7" s="5" t="s">
        <v>172</v>
      </c>
      <c r="C7" s="11">
        <f>SUMIFS('Calls per Process'!$F$5:$F$70,'Calls per Process'!$A$5:$A$70,$A7)</f>
        <v>2</v>
      </c>
      <c r="D7" s="11">
        <f>SUMIFS('Calls per Process'!$G$5:$G$70,'Calls per Process'!$A$5:$A$70,$A7)</f>
        <v>1</v>
      </c>
    </row>
    <row r="8" spans="1:4" x14ac:dyDescent="0.2">
      <c r="A8" s="5" t="s">
        <v>175</v>
      </c>
      <c r="B8" s="5" t="s">
        <v>172</v>
      </c>
      <c r="C8" s="11">
        <f>SUMIFS('Calls per Process'!$F$5:$F$70,'Calls per Process'!$A$5:$A$70,$A8)</f>
        <v>2</v>
      </c>
      <c r="D8" s="11">
        <f>SUMIFS('Calls per Process'!$G$5:$G$70,'Calls per Process'!$A$5:$A$70,$A8)</f>
        <v>1</v>
      </c>
    </row>
    <row r="9" spans="1:4" x14ac:dyDescent="0.2">
      <c r="A9" s="5" t="s">
        <v>180</v>
      </c>
      <c r="B9" s="5" t="s">
        <v>172</v>
      </c>
      <c r="C9" s="11">
        <f>SUMIFS('Calls per Process'!$F$5:$F$70,'Calls per Process'!$A$5:$A$70,$A9)</f>
        <v>1</v>
      </c>
      <c r="D9" s="11">
        <f>SUMIFS('Calls per Process'!$G$5:$G$70,'Calls per Process'!$A$5:$A$70,$A9)</f>
        <v>1</v>
      </c>
    </row>
    <row r="10" spans="1:4" x14ac:dyDescent="0.2">
      <c r="A10" s="5" t="s">
        <v>183</v>
      </c>
      <c r="B10" s="5" t="s">
        <v>172</v>
      </c>
      <c r="C10" s="11">
        <f>SUMIFS('Calls per Process'!$F$5:$F$70,'Calls per Process'!$A$5:$A$70,$A10)</f>
        <v>2</v>
      </c>
      <c r="D10" s="11">
        <f>SUMIFS('Calls per Process'!$G$5:$G$70,'Calls per Process'!$A$5:$A$70,$A10)</f>
        <v>1</v>
      </c>
    </row>
    <row r="11" spans="1:4" x14ac:dyDescent="0.2">
      <c r="A11" s="5" t="s">
        <v>186</v>
      </c>
      <c r="B11" s="5" t="s">
        <v>172</v>
      </c>
      <c r="C11" s="11">
        <f>SUMIFS('Calls per Process'!$F$5:$F$70,'Calls per Process'!$A$5:$A$70,$A11)</f>
        <v>2</v>
      </c>
      <c r="D11" s="11">
        <f>SUMIFS('Calls per Process'!$G$5:$G$70,'Calls per Process'!$A$5:$A$70,$A11)</f>
        <v>1</v>
      </c>
    </row>
    <row r="12" spans="1:4" x14ac:dyDescent="0.2">
      <c r="A12" s="5" t="s">
        <v>188</v>
      </c>
      <c r="B12" s="5" t="s">
        <v>172</v>
      </c>
      <c r="C12" s="11">
        <f>SUMIFS('Calls per Process'!$F$5:$F$70,'Calls per Process'!$A$5:$A$70,$A12)</f>
        <v>2</v>
      </c>
      <c r="D12" s="11">
        <f>SUMIFS('Calls per Process'!$G$5:$G$70,'Calls per Process'!$A$5:$A$70,$A12)</f>
        <v>1</v>
      </c>
    </row>
    <row r="13" spans="1:4" x14ac:dyDescent="0.2">
      <c r="A13" s="5" t="s">
        <v>191</v>
      </c>
      <c r="B13" s="5" t="s">
        <v>193</v>
      </c>
      <c r="C13" s="11">
        <f>SUMIFS('Calls per Process'!$F$5:$F$70,'Calls per Process'!$A$5:$A$70,$A13)</f>
        <v>3</v>
      </c>
      <c r="D13" s="11">
        <f>SUMIFS('Calls per Process'!$G$5:$G$70,'Calls per Process'!$A$5:$A$70,$A13)</f>
        <v>3</v>
      </c>
    </row>
    <row r="14" spans="1:4" x14ac:dyDescent="0.2">
      <c r="A14" s="5" t="s">
        <v>200</v>
      </c>
      <c r="B14" s="5" t="s">
        <v>162</v>
      </c>
      <c r="C14" s="11">
        <f>SUMIFS('Calls per Process'!$F$5:$F$70,'Calls per Process'!$A$5:$A$70,$A14)</f>
        <v>1</v>
      </c>
      <c r="D14" s="11">
        <f>SUMIFS('Calls per Process'!$G$5:$G$70,'Calls per Process'!$A$5:$A$70,$A14)</f>
        <v>0</v>
      </c>
    </row>
    <row r="15" spans="1:4" x14ac:dyDescent="0.2">
      <c r="A15" s="5" t="s">
        <v>204</v>
      </c>
      <c r="B15" s="5" t="s">
        <v>162</v>
      </c>
      <c r="C15" s="11">
        <f>SUMIFS('Calls per Process'!$F$5:$F$70,'Calls per Process'!$A$5:$A$70,$A15)</f>
        <v>1</v>
      </c>
      <c r="D15" s="11">
        <f>SUMIFS('Calls per Process'!$G$5:$G$70,'Calls per Process'!$A$5:$A$70,$A15)</f>
        <v>1</v>
      </c>
    </row>
    <row r="16" spans="1:4" x14ac:dyDescent="0.2">
      <c r="A16" s="5" t="s">
        <v>208</v>
      </c>
      <c r="B16" s="5" t="s">
        <v>210</v>
      </c>
      <c r="C16" s="11">
        <f>SUMIFS('Calls per Process'!$F$5:$F$70,'Calls per Process'!$A$5:$A$70,$A16)</f>
        <v>1</v>
      </c>
      <c r="D16" s="11">
        <f>SUMIFS('Calls per Process'!$G$5:$G$70,'Calls per Process'!$A$5:$A$70,$A16)</f>
        <v>1</v>
      </c>
    </row>
    <row r="17" spans="1:4" x14ac:dyDescent="0.2">
      <c r="A17" s="5" t="s">
        <v>213</v>
      </c>
      <c r="B17" s="5" t="s">
        <v>210</v>
      </c>
      <c r="C17" s="11">
        <f>SUMIFS('Calls per Process'!$F$5:$F$70,'Calls per Process'!$A$5:$A$70,$A17)</f>
        <v>3</v>
      </c>
      <c r="D17" s="11">
        <f>SUMIFS('Calls per Process'!$G$5:$G$70,'Calls per Process'!$A$5:$A$70,$A17)</f>
        <v>3</v>
      </c>
    </row>
    <row r="18" spans="1:4" x14ac:dyDescent="0.2">
      <c r="A18" s="5" t="s">
        <v>216</v>
      </c>
      <c r="B18" s="5" t="s">
        <v>172</v>
      </c>
      <c r="C18" s="11">
        <f>SUMIFS('Calls per Process'!$F$5:$F$70,'Calls per Process'!$A$5:$A$70,$A18)</f>
        <v>0</v>
      </c>
      <c r="D18" s="11">
        <f>SUMIFS('Calls per Process'!$G$5:$G$70,'Calls per Process'!$A$5:$A$70,$A18)</f>
        <v>0</v>
      </c>
    </row>
    <row r="19" spans="1:4" x14ac:dyDescent="0.2">
      <c r="A19" s="5" t="s">
        <v>219</v>
      </c>
      <c r="B19" s="5" t="s">
        <v>221</v>
      </c>
      <c r="C19" s="11">
        <f>SUMIFS('Calls per Process'!$F$5:$F$70,'Calls per Process'!$A$5:$A$70,$A19)</f>
        <v>1</v>
      </c>
      <c r="D19" s="11">
        <f>SUMIFS('Calls per Process'!$G$5:$G$70,'Calls per Process'!$A$5:$A$70,$A19)</f>
        <v>1</v>
      </c>
    </row>
    <row r="20" spans="1:4" x14ac:dyDescent="0.2">
      <c r="A20" s="5" t="s">
        <v>228</v>
      </c>
      <c r="B20" s="5" t="s">
        <v>230</v>
      </c>
      <c r="C20" s="11">
        <f>SUMIFS('Calls per Process'!$F$5:$F$70,'Calls per Process'!$A$5:$A$70,$A20)</f>
        <v>2</v>
      </c>
      <c r="D20" s="11">
        <f>SUMIFS('Calls per Process'!$G$5:$G$70,'Calls per Process'!$A$5:$A$70,$A20)</f>
        <v>2</v>
      </c>
    </row>
    <row r="21" spans="1:4" x14ac:dyDescent="0.2">
      <c r="A21" s="5" t="s">
        <v>233</v>
      </c>
      <c r="B21" s="5" t="s">
        <v>221</v>
      </c>
      <c r="C21" s="11">
        <f>SUMIFS('Calls per Process'!$F$5:$F$70,'Calls per Process'!$A$5:$A$70,$A21)</f>
        <v>1</v>
      </c>
      <c r="D21" s="11">
        <f>SUMIFS('Calls per Process'!$G$5:$G$70,'Calls per Process'!$A$5:$A$70,$A21)</f>
        <v>1</v>
      </c>
    </row>
    <row r="22" spans="1:4" x14ac:dyDescent="0.2">
      <c r="A22" s="5" t="s">
        <v>235</v>
      </c>
      <c r="B22" s="5" t="s">
        <v>221</v>
      </c>
      <c r="C22" s="11">
        <f>SUMIFS('Calls per Process'!$F$5:$F$70,'Calls per Process'!$A$5:$A$70,$A22)</f>
        <v>1</v>
      </c>
      <c r="D22" s="11">
        <f>SUMIFS('Calls per Process'!$G$5:$G$70,'Calls per Process'!$A$5:$A$70,$A22)</f>
        <v>1</v>
      </c>
    </row>
    <row r="23" spans="1:4" x14ac:dyDescent="0.2">
      <c r="A23" s="9" t="s">
        <v>322</v>
      </c>
      <c r="B23" s="10"/>
      <c r="C23" s="10"/>
      <c r="D23" s="10"/>
    </row>
    <row r="24" spans="1:4" x14ac:dyDescent="0.2">
      <c r="A24" s="5" t="s">
        <v>241</v>
      </c>
      <c r="B24" s="5" t="s">
        <v>243</v>
      </c>
      <c r="C24" s="11">
        <f>SUMIFS('Calls per Process'!$F$5:$F$70,'Calls per Process'!$A$5:$A$70,$A24)</f>
        <v>1</v>
      </c>
      <c r="D24" s="11">
        <f>SUMIFS('Calls per Process'!$G$5:$G$70,'Calls per Process'!$A$5:$A$70,$A24)</f>
        <v>1</v>
      </c>
    </row>
    <row r="25" spans="1:4" x14ac:dyDescent="0.2">
      <c r="A25" s="5" t="s">
        <v>246</v>
      </c>
      <c r="B25" s="5" t="s">
        <v>248</v>
      </c>
      <c r="C25" s="11">
        <f>SUMIFS('Calls per Process'!$F$5:$F$70,'Calls per Process'!$A$5:$A$70,$A25)</f>
        <v>4</v>
      </c>
      <c r="D25" s="11">
        <f>SUMIFS('Calls per Process'!$G$5:$G$70,'Calls per Process'!$A$5:$A$70,$A25)</f>
        <v>2</v>
      </c>
    </row>
    <row r="26" spans="1:4" x14ac:dyDescent="0.2">
      <c r="A26" s="5" t="s">
        <v>255</v>
      </c>
      <c r="B26" s="5" t="s">
        <v>257</v>
      </c>
      <c r="C26" s="11">
        <f>SUMIFS('Calls per Process'!$F$5:$F$70,'Calls per Process'!$A$5:$A$70,$A26)</f>
        <v>2</v>
      </c>
      <c r="D26" s="11">
        <f>SUMIFS('Calls per Process'!$G$5:$G$70,'Calls per Process'!$A$5:$A$70,$A26)</f>
        <v>2</v>
      </c>
    </row>
    <row r="27" spans="1:4" x14ac:dyDescent="0.2">
      <c r="A27" s="5" t="s">
        <v>264</v>
      </c>
      <c r="B27" s="5" t="s">
        <v>266</v>
      </c>
      <c r="C27" s="11">
        <f>SUMIFS('Calls per Process'!$F$5:$F$70,'Calls per Process'!$A$5:$A$70,$A27)</f>
        <v>3</v>
      </c>
      <c r="D27" s="11">
        <f>SUMIFS('Calls per Process'!$G$5:$G$70,'Calls per Process'!$A$5:$A$70,$A27)</f>
        <v>1</v>
      </c>
    </row>
    <row r="28" spans="1:4" x14ac:dyDescent="0.2">
      <c r="A28" s="5" t="s">
        <v>270</v>
      </c>
      <c r="B28" s="5" t="s">
        <v>272</v>
      </c>
      <c r="C28" s="11">
        <f>SUMIFS('Calls per Process'!$F$5:$F$70,'Calls per Process'!$A$5:$A$70,$A28)</f>
        <v>2</v>
      </c>
      <c r="D28" s="11">
        <f>SUMIFS('Calls per Process'!$G$5:$G$70,'Calls per Process'!$A$5:$A$70,$A28)</f>
        <v>1</v>
      </c>
    </row>
    <row r="29" spans="1:4" x14ac:dyDescent="0.2">
      <c r="A29" s="5" t="s">
        <v>275</v>
      </c>
      <c r="B29" s="5" t="s">
        <v>272</v>
      </c>
      <c r="C29" s="11">
        <f>SUMIFS('Calls per Process'!$F$5:$F$70,'Calls per Process'!$A$5:$A$70,$A29)</f>
        <v>3</v>
      </c>
      <c r="D29" s="11">
        <f>SUMIFS('Calls per Process'!$G$5:$G$70,'Calls per Process'!$A$5:$A$70,$A29)</f>
        <v>3</v>
      </c>
    </row>
    <row r="30" spans="1:4" x14ac:dyDescent="0.2">
      <c r="A30" s="5" t="s">
        <v>282</v>
      </c>
      <c r="B30" s="5" t="s">
        <v>272</v>
      </c>
      <c r="C30" s="11">
        <f>SUMIFS('Calls per Process'!$F$5:$F$70,'Calls per Process'!$A$5:$A$70,$A30)</f>
        <v>3</v>
      </c>
      <c r="D30" s="11">
        <f>SUMIFS('Calls per Process'!$G$5:$G$70,'Calls per Process'!$A$5:$A$70,$A30)</f>
        <v>2</v>
      </c>
    </row>
    <row r="31" spans="1:4" x14ac:dyDescent="0.2">
      <c r="A31" s="5" t="s">
        <v>291</v>
      </c>
      <c r="B31" s="5" t="s">
        <v>293</v>
      </c>
      <c r="C31" s="11">
        <f>SUMIFS('Calls per Process'!$F$5:$F$70,'Calls per Process'!$A$5:$A$70,$A31)</f>
        <v>1</v>
      </c>
      <c r="D31" s="11">
        <f>SUMIFS('Calls per Process'!$G$5:$G$70,'Calls per Process'!$A$5:$A$70,$A31)</f>
        <v>1</v>
      </c>
    </row>
    <row r="32" spans="1:4" x14ac:dyDescent="0.2">
      <c r="A32" s="5" t="s">
        <v>296</v>
      </c>
      <c r="B32" s="5" t="s">
        <v>298</v>
      </c>
      <c r="C32" s="11">
        <f>SUMIFS('Calls per Process'!$F$5:$F$70,'Calls per Process'!$A$5:$A$70,$A32)</f>
        <v>3</v>
      </c>
      <c r="D32" s="11">
        <f>SUMIFS('Calls per Process'!$G$5:$G$70,'Calls per Process'!$A$5:$A$70,$A32)</f>
        <v>3</v>
      </c>
    </row>
    <row r="33" spans="1:5" x14ac:dyDescent="0.2">
      <c r="A33" s="9" t="s">
        <v>323</v>
      </c>
      <c r="B33" s="10"/>
      <c r="C33" s="10"/>
      <c r="D33" s="10"/>
    </row>
    <row r="34" spans="1:5" x14ac:dyDescent="0.2">
      <c r="A34" s="5" t="s">
        <v>306</v>
      </c>
      <c r="B34" s="5" t="s">
        <v>308</v>
      </c>
      <c r="C34" s="11">
        <f>SUMIFS('Calls per Process'!$F$5:$F$70,'Calls per Process'!$A$5:$A$70,$A34)</f>
        <v>0</v>
      </c>
      <c r="D34" s="11">
        <f>SUMIFS('Calls per Process'!$G$5:$G$70,'Calls per Process'!$A$5:$A$70,$A34)</f>
        <v>0</v>
      </c>
    </row>
    <row r="35" spans="1:5" x14ac:dyDescent="0.2">
      <c r="A35" s="5" t="s">
        <v>311</v>
      </c>
      <c r="B35" s="5" t="s">
        <v>308</v>
      </c>
      <c r="C35" s="11">
        <f>SUMIFS('Calls per Process'!$F$5:$F$70,'Calls per Process'!$A$5:$A$70,$A35)</f>
        <v>0</v>
      </c>
      <c r="D35" s="11">
        <f>SUMIFS('Calls per Process'!$G$5:$G$70,'Calls per Process'!$A$5:$A$70,$A35)</f>
        <v>0</v>
      </c>
    </row>
    <row r="36" spans="1:5" x14ac:dyDescent="0.2">
      <c r="A36" s="5" t="s">
        <v>314</v>
      </c>
      <c r="B36" s="5" t="s">
        <v>308</v>
      </c>
      <c r="C36" s="11">
        <f>SUMIFS('Calls per Process'!$F$5:$F$70,'Calls per Process'!$A$5:$A$70,$A36)</f>
        <v>0</v>
      </c>
      <c r="D36" s="11">
        <f>SUMIFS('Calls per Process'!$G$5:$G$70,'Calls per Process'!$A$5:$A$70,$A36)</f>
        <v>0</v>
      </c>
    </row>
    <row r="38" spans="1:5" x14ac:dyDescent="0.2">
      <c r="A38" s="9" t="s">
        <v>324</v>
      </c>
      <c r="B38" s="10"/>
      <c r="C38" s="10"/>
      <c r="D38" s="10"/>
    </row>
    <row r="39" spans="1:5" x14ac:dyDescent="0.2">
      <c r="A39" s="5" t="s">
        <v>325</v>
      </c>
      <c r="B39" s="11" t="s">
        <v>326</v>
      </c>
      <c r="C39" s="11">
        <f>C7</f>
        <v>2</v>
      </c>
      <c r="D39" s="11">
        <f>C7</f>
        <v>2</v>
      </c>
      <c r="E39" s="12" t="s">
        <v>327</v>
      </c>
    </row>
    <row r="40" spans="1:5" x14ac:dyDescent="0.2">
      <c r="A40" s="5" t="s">
        <v>328</v>
      </c>
      <c r="B40" s="11" t="s">
        <v>326</v>
      </c>
      <c r="C40" s="11">
        <f>D7</f>
        <v>1</v>
      </c>
      <c r="D40" s="11">
        <f>D7</f>
        <v>1</v>
      </c>
      <c r="E40" s="12" t="s">
        <v>329</v>
      </c>
    </row>
    <row r="41" spans="1:5" ht="26" x14ac:dyDescent="0.2">
      <c r="A41" s="5" t="s">
        <v>330</v>
      </c>
      <c r="B41" s="11" t="s">
        <v>331</v>
      </c>
      <c r="C41" s="11">
        <f>C27+C10+39*D10</f>
        <v>44</v>
      </c>
      <c r="D41" s="11">
        <f>D27+40*D10</f>
        <v>41</v>
      </c>
      <c r="E41" s="12" t="s">
        <v>332</v>
      </c>
    </row>
    <row r="42" spans="1:5" x14ac:dyDescent="0.2">
      <c r="A42" s="5" t="s">
        <v>333</v>
      </c>
      <c r="B42" s="11" t="s">
        <v>334</v>
      </c>
      <c r="C42" s="11">
        <f>C6+C14</f>
        <v>3</v>
      </c>
      <c r="D42" s="11">
        <f>D6+D14</f>
        <v>1</v>
      </c>
      <c r="E42" s="12" t="s">
        <v>335</v>
      </c>
    </row>
    <row r="43" spans="1:5" x14ac:dyDescent="0.2">
      <c r="A43" s="5" t="s">
        <v>336</v>
      </c>
      <c r="B43" s="11" t="s">
        <v>337</v>
      </c>
      <c r="C43" s="11">
        <f>C32+29</f>
        <v>32</v>
      </c>
      <c r="D43" s="11">
        <f>D32+29</f>
        <v>32</v>
      </c>
      <c r="E43" s="12" t="s">
        <v>338</v>
      </c>
    </row>
    <row r="45" spans="1:5" ht="65" x14ac:dyDescent="0.2">
      <c r="A45" s="12" t="s">
        <v>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API Endpoints</vt:lpstr>
      <vt:lpstr>Calls per Process</vt:lpstr>
      <vt:lpstr>Calls per Process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Paull, Gideon</cp:lastModifiedBy>
  <dcterms:created xsi:type="dcterms:W3CDTF">2026-09-12T17:19:58Z</dcterms:created>
  <dcterms:modified xsi:type="dcterms:W3CDTF">2026-09-25T14:32:01Z</dcterms:modified>
</cp:coreProperties>
</file>